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gramming\Py\OSBB\Data\raw\typed\"/>
    </mc:Choice>
  </mc:AlternateContent>
  <xr:revisionPtr revIDLastSave="0" documentId="13_ncr:1_{11950BB7-EA19-46F4-B384-6EE53E10EF8A}" xr6:coauthVersionLast="47" xr6:coauthVersionMax="47" xr10:uidLastSave="{00000000-0000-0000-0000-000000000000}"/>
  <bookViews>
    <workbookView xWindow="8031" yWindow="2049" windowWidth="16835" windowHeight="14442" activeTab="1" xr2:uid="{9DC81208-272F-4EE9-B783-8EB92A88304F}"/>
  </bookViews>
  <sheets>
    <sheet name="Лист1" sheetId="1" r:id="rId1"/>
    <sheet name="Sheet1" sheetId="2" r:id="rId2"/>
    <sheet name="remot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2" l="1"/>
  <c r="H39" i="2"/>
  <c r="H44" i="2"/>
  <c r="G44" i="2"/>
  <c r="I44" i="2" l="1"/>
  <c r="I39" i="2"/>
</calcChain>
</file>

<file path=xl/sharedStrings.xml><?xml version="1.0" encoding="utf-8"?>
<sst xmlns="http://schemas.openxmlformats.org/spreadsheetml/2006/main" count="156" uniqueCount="70">
  <si>
    <t>квартира</t>
  </si>
  <si>
    <t>кільк машин</t>
  </si>
  <si>
    <t>травень</t>
  </si>
  <si>
    <t>червень</t>
  </si>
  <si>
    <t>6й під.їзд</t>
  </si>
  <si>
    <t>1-день</t>
  </si>
  <si>
    <t>1-сутки</t>
  </si>
  <si>
    <t>3-день</t>
  </si>
  <si>
    <t>2-день</t>
  </si>
  <si>
    <t>8000грн</t>
  </si>
  <si>
    <t>5й під.їзд</t>
  </si>
  <si>
    <t>450-квітень</t>
  </si>
  <si>
    <t>3350грн</t>
  </si>
  <si>
    <t>1й під.їзд</t>
  </si>
  <si>
    <t>охорона</t>
  </si>
  <si>
    <t>2й під.їзд</t>
  </si>
  <si>
    <t>1900грн</t>
  </si>
  <si>
    <t>11400грн</t>
  </si>
  <si>
    <t>5місяців</t>
  </si>
  <si>
    <t>200-липень</t>
  </si>
  <si>
    <t>2-сутки</t>
  </si>
  <si>
    <t>1-д і сутки</t>
  </si>
  <si>
    <t>4й під.їзд</t>
  </si>
  <si>
    <t>1- сутки</t>
  </si>
  <si>
    <t>1500грн</t>
  </si>
  <si>
    <t>всього 26500</t>
  </si>
  <si>
    <t>Дунебабіна</t>
  </si>
  <si>
    <t xml:space="preserve">Дата </t>
  </si>
  <si>
    <t>кв</t>
  </si>
  <si>
    <t>ФИО</t>
  </si>
  <si>
    <t>сумма</t>
  </si>
  <si>
    <t>подїезд</t>
  </si>
  <si>
    <t>2</t>
  </si>
  <si>
    <t>Кобилінський В.А.</t>
  </si>
  <si>
    <t>Пульты</t>
  </si>
  <si>
    <t>4</t>
  </si>
  <si>
    <t>Митрохина</t>
  </si>
  <si>
    <t>Гнатовская Катерина</t>
  </si>
  <si>
    <t>Третяк</t>
  </si>
  <si>
    <t>Парковка  + шлагбаум</t>
  </si>
  <si>
    <t>приход</t>
  </si>
  <si>
    <t>расход</t>
  </si>
  <si>
    <t>Стеклова</t>
  </si>
  <si>
    <t>Феленюк Олена</t>
  </si>
  <si>
    <t>?</t>
  </si>
  <si>
    <t xml:space="preserve">Чиж І. С. </t>
  </si>
  <si>
    <t>6</t>
  </si>
  <si>
    <t>5</t>
  </si>
  <si>
    <t>AI5787ET</t>
  </si>
  <si>
    <t>AM1317MT</t>
  </si>
  <si>
    <t>AA2558HK</t>
  </si>
  <si>
    <t>1</t>
  </si>
  <si>
    <t>підїзд</t>
  </si>
  <si>
    <t>Назначение</t>
  </si>
  <si>
    <t>П</t>
  </si>
  <si>
    <t>Ш</t>
  </si>
  <si>
    <t>Plate</t>
  </si>
  <si>
    <t>AA12354BT</t>
  </si>
  <si>
    <t>Касса</t>
  </si>
  <si>
    <t>AI8756HK</t>
  </si>
  <si>
    <t>BM1253BX</t>
  </si>
  <si>
    <t>O</t>
  </si>
  <si>
    <t>AA1178KM</t>
  </si>
  <si>
    <t>KA5689BB</t>
  </si>
  <si>
    <t>KA5030CI</t>
  </si>
  <si>
    <t>AA3804KI</t>
  </si>
  <si>
    <t>Комбинат</t>
  </si>
  <si>
    <t>KA5524KA</t>
  </si>
  <si>
    <t>O186</t>
  </si>
  <si>
    <t>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</si>
</sst>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sz val="11"/>
      <color theme="7" tint="-0.249977111117893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8"/>
      <color theme="5" tint="-0.249977111117893"/>
      <name val="Calibri"/>
      <family val="2"/>
      <charset val="204"/>
      <scheme val="minor"/>
    </font>
    <font>
      <b/>
      <sz val="16"/>
      <color theme="5" tint="-0.249977111117893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4"/>
      <color theme="5" tint="-0.249977111117893"/>
      <name val="Calibri"/>
      <family val="2"/>
      <charset val="204"/>
      <scheme val="minor"/>
    </font>
    <font>
      <sz val="16"/>
      <color theme="5" tint="-0.249977111117893"/>
      <name val="Calibri"/>
      <family val="2"/>
      <charset val="204"/>
      <scheme val="minor"/>
    </font>
    <font>
      <sz val="14"/>
      <color theme="1"/>
      <name val="Verdana"/>
      <family val="2"/>
      <charset val="204"/>
    </font>
    <font>
      <sz val="16"/>
      <color theme="9" tint="-0.499984740745262"/>
      <name val="Calibri"/>
      <family val="2"/>
      <charset val="204"/>
      <scheme val="minor"/>
    </font>
    <font>
      <sz val="18"/>
      <color rgb="FFC00000"/>
      <name val="Calibri"/>
      <family val="2"/>
      <charset val="204"/>
      <scheme val="minor"/>
    </font>
    <font>
      <sz val="16"/>
      <color rgb="FFC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1" fillId="0" borderId="2" xfId="0" applyFont="1" applyBorder="1"/>
    <xf numFmtId="0" fontId="1" fillId="0" borderId="3" xfId="0" applyFont="1" applyBorder="1"/>
    <xf numFmtId="0" fontId="5" fillId="0" borderId="3" xfId="0" applyFont="1" applyBorder="1"/>
    <xf numFmtId="0" fontId="6" fillId="0" borderId="0" xfId="0" applyFont="1"/>
    <xf numFmtId="0" fontId="6" fillId="0" borderId="1" xfId="0" applyFont="1" applyBorder="1"/>
    <xf numFmtId="0" fontId="0" fillId="0" borderId="4" xfId="0" applyBorder="1"/>
    <xf numFmtId="0" fontId="4" fillId="0" borderId="0" xfId="0" applyFont="1"/>
    <xf numFmtId="0" fontId="7" fillId="0" borderId="1" xfId="0" applyFont="1" applyBorder="1"/>
    <xf numFmtId="0" fontId="8" fillId="0" borderId="1" xfId="0" applyFont="1" applyBorder="1"/>
    <xf numFmtId="0" fontId="8" fillId="0" borderId="4" xfId="0" applyFont="1" applyBorder="1"/>
    <xf numFmtId="0" fontId="4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0" fillId="0" borderId="1" xfId="0" applyBorder="1"/>
    <xf numFmtId="16" fontId="4" fillId="0" borderId="1" xfId="0" applyNumberFormat="1" applyFont="1" applyBorder="1"/>
    <xf numFmtId="0" fontId="13" fillId="0" borderId="1" xfId="0" applyFont="1" applyBorder="1"/>
    <xf numFmtId="3" fontId="4" fillId="0" borderId="1" xfId="0" applyNumberFormat="1" applyFont="1" applyBorder="1"/>
    <xf numFmtId="0" fontId="9" fillId="0" borderId="1" xfId="0" applyFont="1" applyBorder="1"/>
    <xf numFmtId="0" fontId="12" fillId="0" borderId="1" xfId="0" applyFont="1" applyBorder="1"/>
    <xf numFmtId="0" fontId="13" fillId="0" borderId="1" xfId="0" applyFont="1" applyFill="1" applyBorder="1"/>
    <xf numFmtId="0" fontId="1" fillId="0" borderId="1" xfId="0" applyFont="1" applyBorder="1" applyAlignment="1">
      <alignment horizontal="left" indent="1"/>
    </xf>
    <xf numFmtId="0" fontId="4" fillId="0" borderId="1" xfId="0" applyFont="1" applyFill="1" applyBorder="1"/>
    <xf numFmtId="0" fontId="14" fillId="0" borderId="1" xfId="0" applyFont="1" applyBorder="1"/>
    <xf numFmtId="0" fontId="15" fillId="0" borderId="1" xfId="0" applyFont="1" applyBorder="1"/>
    <xf numFmtId="0" fontId="0" fillId="0" borderId="0" xfId="0" applyAlignment="1">
      <alignment horizontal="center"/>
    </xf>
    <xf numFmtId="14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9A369-833B-42A5-ACC2-3978DA7741AD}">
  <dimension ref="A1:I84"/>
  <sheetViews>
    <sheetView topLeftCell="A16" workbookViewId="0">
      <selection activeCell="B31" sqref="B31"/>
    </sheetView>
  </sheetViews>
  <sheetFormatPr defaultRowHeight="14.6" x14ac:dyDescent="0.4"/>
  <cols>
    <col min="1" max="1" width="26.15234375" customWidth="1"/>
    <col min="2" max="3" width="17.07421875" customWidth="1"/>
    <col min="4" max="4" width="17.3046875" customWidth="1"/>
    <col min="5" max="5" width="10.53515625" customWidth="1"/>
    <col min="6" max="6" width="13.07421875" customWidth="1"/>
  </cols>
  <sheetData>
    <row r="1" spans="1:6" ht="23.15" x14ac:dyDescent="0.6">
      <c r="A1" s="8"/>
      <c r="B1" s="8" t="s">
        <v>0</v>
      </c>
      <c r="C1" s="15" t="s">
        <v>1</v>
      </c>
      <c r="D1" s="11" t="s">
        <v>2</v>
      </c>
      <c r="E1" s="16" t="s">
        <v>3</v>
      </c>
      <c r="F1" s="17"/>
    </row>
    <row r="2" spans="1:6" ht="23.15" x14ac:dyDescent="0.6">
      <c r="A2" s="1" t="s">
        <v>4</v>
      </c>
      <c r="B2" s="1">
        <v>191</v>
      </c>
      <c r="C2" s="18" t="s">
        <v>5</v>
      </c>
      <c r="D2" s="12">
        <v>200</v>
      </c>
      <c r="E2" s="19">
        <v>200</v>
      </c>
      <c r="F2" s="17"/>
    </row>
    <row r="3" spans="1:6" ht="26.6" customHeight="1" x14ac:dyDescent="0.6">
      <c r="A3" s="26" t="s">
        <v>9</v>
      </c>
      <c r="B3" s="1">
        <v>192</v>
      </c>
      <c r="C3" s="14" t="s">
        <v>5</v>
      </c>
      <c r="D3" s="12">
        <v>200</v>
      </c>
      <c r="E3" s="19">
        <v>200</v>
      </c>
      <c r="F3" s="17"/>
    </row>
    <row r="4" spans="1:6" ht="23.15" x14ac:dyDescent="0.6">
      <c r="A4" s="1"/>
      <c r="B4" s="1">
        <v>193</v>
      </c>
      <c r="C4" s="14" t="s">
        <v>5</v>
      </c>
      <c r="D4" s="12">
        <v>200</v>
      </c>
      <c r="E4" s="19">
        <v>200</v>
      </c>
      <c r="F4" s="17"/>
    </row>
    <row r="5" spans="1:6" ht="23.15" x14ac:dyDescent="0.6">
      <c r="A5" s="1"/>
      <c r="B5" s="1">
        <v>194</v>
      </c>
      <c r="C5" s="14" t="s">
        <v>5</v>
      </c>
      <c r="D5" s="12">
        <v>200</v>
      </c>
      <c r="E5" s="19">
        <v>200</v>
      </c>
      <c r="F5" s="17"/>
    </row>
    <row r="6" spans="1:6" ht="23.15" x14ac:dyDescent="0.6">
      <c r="A6" s="2"/>
      <c r="B6" s="1"/>
      <c r="C6" s="14" t="s">
        <v>6</v>
      </c>
      <c r="D6" s="12">
        <v>500</v>
      </c>
      <c r="E6" s="19">
        <v>500</v>
      </c>
      <c r="F6" s="17"/>
    </row>
    <row r="7" spans="1:6" ht="23.15" x14ac:dyDescent="0.6">
      <c r="A7" s="1"/>
      <c r="B7" s="1">
        <v>195</v>
      </c>
      <c r="C7" s="14" t="s">
        <v>5</v>
      </c>
      <c r="D7" s="12">
        <v>200</v>
      </c>
      <c r="E7" s="19">
        <v>200</v>
      </c>
      <c r="F7" s="17"/>
    </row>
    <row r="8" spans="1:6" ht="23.15" x14ac:dyDescent="0.6">
      <c r="A8" s="1"/>
      <c r="B8" s="1">
        <v>196</v>
      </c>
      <c r="C8" s="14" t="s">
        <v>5</v>
      </c>
      <c r="D8" s="12">
        <v>200</v>
      </c>
      <c r="E8" s="19">
        <v>200</v>
      </c>
      <c r="F8" s="17"/>
    </row>
    <row r="9" spans="1:6" ht="23.15" x14ac:dyDescent="0.6">
      <c r="A9" s="1"/>
      <c r="B9" s="1">
        <v>197</v>
      </c>
      <c r="C9" s="14" t="s">
        <v>5</v>
      </c>
      <c r="D9" s="12">
        <v>200</v>
      </c>
      <c r="E9" s="19">
        <v>200</v>
      </c>
      <c r="F9" s="17"/>
    </row>
    <row r="10" spans="1:6" ht="22.75" customHeight="1" x14ac:dyDescent="0.6">
      <c r="A10" s="1"/>
      <c r="B10" s="1">
        <v>198</v>
      </c>
      <c r="C10" s="14" t="s">
        <v>7</v>
      </c>
      <c r="D10" s="12">
        <v>600</v>
      </c>
      <c r="E10" s="19">
        <v>600</v>
      </c>
      <c r="F10" s="17"/>
    </row>
    <row r="11" spans="1:6" ht="21.9" customHeight="1" x14ac:dyDescent="0.6">
      <c r="A11" s="17"/>
      <c r="B11" s="1">
        <v>200</v>
      </c>
      <c r="C11" s="14" t="s">
        <v>5</v>
      </c>
      <c r="D11" s="12">
        <v>200</v>
      </c>
      <c r="E11" s="19">
        <v>200</v>
      </c>
      <c r="F11" s="17"/>
    </row>
    <row r="12" spans="1:6" ht="23.15" x14ac:dyDescent="0.6">
      <c r="A12" s="1"/>
      <c r="B12" s="1">
        <v>201</v>
      </c>
      <c r="C12" s="14" t="s">
        <v>5</v>
      </c>
      <c r="D12" s="12">
        <v>200</v>
      </c>
      <c r="E12" s="19">
        <v>200</v>
      </c>
      <c r="F12" s="17"/>
    </row>
    <row r="13" spans="1:6" ht="23.15" x14ac:dyDescent="0.6">
      <c r="A13" s="1"/>
      <c r="B13" s="1">
        <v>203</v>
      </c>
      <c r="C13" s="20" t="s">
        <v>5</v>
      </c>
      <c r="D13" s="21">
        <v>200</v>
      </c>
      <c r="E13" s="19">
        <v>200</v>
      </c>
      <c r="F13" s="17"/>
    </row>
    <row r="14" spans="1:6" ht="23.15" x14ac:dyDescent="0.6">
      <c r="A14" s="2"/>
      <c r="B14" s="2"/>
      <c r="C14" s="14" t="s">
        <v>6</v>
      </c>
      <c r="D14" s="12">
        <v>500</v>
      </c>
      <c r="E14" s="19">
        <v>500</v>
      </c>
      <c r="F14" s="17"/>
    </row>
    <row r="15" spans="1:6" ht="23.15" x14ac:dyDescent="0.6">
      <c r="A15" s="1"/>
      <c r="B15" s="1">
        <v>205</v>
      </c>
      <c r="C15" s="22" t="s">
        <v>8</v>
      </c>
      <c r="D15" s="21">
        <v>400</v>
      </c>
      <c r="E15" s="23">
        <v>400</v>
      </c>
      <c r="F15" s="17"/>
    </row>
    <row r="16" spans="1:6" ht="23.15" x14ac:dyDescent="0.6">
      <c r="A16" s="1" t="s">
        <v>10</v>
      </c>
      <c r="B16" s="1">
        <v>181</v>
      </c>
      <c r="C16" s="14" t="s">
        <v>6</v>
      </c>
      <c r="D16" s="12">
        <v>500</v>
      </c>
      <c r="E16" s="23">
        <v>0</v>
      </c>
      <c r="F16" s="17"/>
    </row>
    <row r="17" spans="1:9" ht="23.15" x14ac:dyDescent="0.6">
      <c r="A17" s="26" t="s">
        <v>12</v>
      </c>
      <c r="B17" s="2">
        <v>182</v>
      </c>
      <c r="C17" s="14" t="s">
        <v>5</v>
      </c>
      <c r="D17" s="12">
        <v>200</v>
      </c>
      <c r="E17" s="23">
        <v>200</v>
      </c>
      <c r="F17" s="17"/>
      <c r="I17" s="3"/>
    </row>
    <row r="18" spans="1:9" ht="23.15" x14ac:dyDescent="0.6">
      <c r="A18" s="1"/>
      <c r="B18" s="1"/>
      <c r="C18" s="14" t="s">
        <v>6</v>
      </c>
      <c r="D18" s="12">
        <v>500</v>
      </c>
      <c r="E18" s="23">
        <v>500</v>
      </c>
      <c r="F18" s="17" t="s">
        <v>11</v>
      </c>
    </row>
    <row r="19" spans="1:9" ht="23.15" x14ac:dyDescent="0.6">
      <c r="A19" s="1" t="s">
        <v>13</v>
      </c>
      <c r="B19" s="1">
        <v>12</v>
      </c>
      <c r="C19" s="14" t="s">
        <v>5</v>
      </c>
      <c r="D19" s="12">
        <v>200</v>
      </c>
      <c r="E19" s="23">
        <v>200</v>
      </c>
      <c r="F19" s="17"/>
    </row>
    <row r="20" spans="1:9" ht="23.15" x14ac:dyDescent="0.6">
      <c r="A20" s="26" t="s">
        <v>16</v>
      </c>
      <c r="B20" s="1">
        <v>8</v>
      </c>
      <c r="C20" s="14" t="s">
        <v>6</v>
      </c>
      <c r="D20" s="12">
        <v>500</v>
      </c>
      <c r="E20" s="23">
        <v>500</v>
      </c>
      <c r="F20" s="17"/>
    </row>
    <row r="21" spans="1:9" ht="23.15" x14ac:dyDescent="0.6">
      <c r="A21" s="1"/>
      <c r="B21" s="1">
        <v>6</v>
      </c>
      <c r="C21" s="14" t="s">
        <v>6</v>
      </c>
      <c r="D21" s="12" t="s">
        <v>14</v>
      </c>
      <c r="E21" s="23">
        <v>500</v>
      </c>
      <c r="F21" s="17"/>
    </row>
    <row r="22" spans="1:9" ht="23.15" x14ac:dyDescent="0.6">
      <c r="A22" s="1" t="s">
        <v>15</v>
      </c>
      <c r="B22" s="1">
        <v>110</v>
      </c>
      <c r="C22" s="14" t="s">
        <v>6</v>
      </c>
      <c r="D22" s="12">
        <v>500</v>
      </c>
      <c r="E22" s="23">
        <v>500</v>
      </c>
      <c r="F22" s="17"/>
    </row>
    <row r="23" spans="1:9" ht="23.15" x14ac:dyDescent="0.6">
      <c r="A23" s="27" t="s">
        <v>17</v>
      </c>
      <c r="B23" s="1">
        <v>31</v>
      </c>
      <c r="C23" s="14" t="s">
        <v>7</v>
      </c>
      <c r="D23" s="12">
        <v>600</v>
      </c>
      <c r="E23" s="23">
        <v>600</v>
      </c>
      <c r="F23" s="17"/>
    </row>
    <row r="24" spans="1:9" ht="23.15" x14ac:dyDescent="0.6">
      <c r="A24" s="24"/>
      <c r="B24" s="1">
        <v>82</v>
      </c>
      <c r="C24" s="14" t="s">
        <v>6</v>
      </c>
      <c r="D24" s="12">
        <v>500</v>
      </c>
      <c r="E24" s="23">
        <v>500</v>
      </c>
      <c r="F24" s="17">
        <v>500</v>
      </c>
    </row>
    <row r="25" spans="1:9" ht="23.15" x14ac:dyDescent="0.6">
      <c r="A25" s="1"/>
      <c r="B25" s="1">
        <v>56</v>
      </c>
      <c r="C25" s="14" t="s">
        <v>5</v>
      </c>
      <c r="D25" s="12" t="s">
        <v>18</v>
      </c>
      <c r="E25" s="23">
        <v>1000</v>
      </c>
      <c r="F25" s="17"/>
    </row>
    <row r="26" spans="1:9" ht="23.15" x14ac:dyDescent="0.6">
      <c r="A26" s="1"/>
      <c r="B26" s="1">
        <v>128</v>
      </c>
      <c r="C26" s="14" t="s">
        <v>5</v>
      </c>
      <c r="D26" s="12">
        <v>200</v>
      </c>
      <c r="E26" s="23">
        <v>200</v>
      </c>
      <c r="F26" s="17"/>
    </row>
    <row r="27" spans="1:9" ht="23.15" x14ac:dyDescent="0.6">
      <c r="A27" s="17"/>
      <c r="B27" s="1">
        <v>25</v>
      </c>
      <c r="C27" s="14" t="s">
        <v>5</v>
      </c>
      <c r="D27" s="12">
        <v>200</v>
      </c>
      <c r="E27" s="23">
        <v>200</v>
      </c>
      <c r="F27" s="17" t="s">
        <v>19</v>
      </c>
    </row>
    <row r="28" spans="1:9" ht="23.15" x14ac:dyDescent="0.6">
      <c r="A28" s="1"/>
      <c r="B28" s="1">
        <v>105</v>
      </c>
      <c r="C28" s="14" t="s">
        <v>20</v>
      </c>
      <c r="D28" s="12">
        <v>1000</v>
      </c>
      <c r="E28" s="23">
        <v>1000</v>
      </c>
      <c r="F28" s="17"/>
    </row>
    <row r="29" spans="1:9" ht="23.15" x14ac:dyDescent="0.6">
      <c r="A29" s="1"/>
      <c r="B29" s="1">
        <v>139</v>
      </c>
      <c r="C29" s="14" t="s">
        <v>6</v>
      </c>
      <c r="D29" s="12">
        <v>500</v>
      </c>
      <c r="E29" s="23">
        <v>500</v>
      </c>
      <c r="F29" s="17"/>
    </row>
    <row r="30" spans="1:9" ht="23.15" x14ac:dyDescent="0.6">
      <c r="A30" s="1"/>
      <c r="B30" s="1">
        <v>180</v>
      </c>
      <c r="C30" s="14" t="s">
        <v>21</v>
      </c>
      <c r="D30" s="12">
        <v>500</v>
      </c>
      <c r="E30" s="23">
        <v>200</v>
      </c>
      <c r="F30" s="17"/>
    </row>
    <row r="31" spans="1:9" ht="23.15" x14ac:dyDescent="0.6">
      <c r="A31" s="1"/>
      <c r="B31" s="1">
        <v>57</v>
      </c>
      <c r="C31" s="14" t="s">
        <v>6</v>
      </c>
      <c r="D31" s="12">
        <v>500</v>
      </c>
      <c r="E31" s="23">
        <v>500</v>
      </c>
      <c r="F31" s="17"/>
    </row>
    <row r="32" spans="1:9" ht="23.15" x14ac:dyDescent="0.6">
      <c r="A32" s="1"/>
      <c r="B32" s="1">
        <v>96</v>
      </c>
      <c r="C32" s="14" t="s">
        <v>6</v>
      </c>
      <c r="D32" s="12">
        <v>500</v>
      </c>
      <c r="E32" s="23">
        <v>500</v>
      </c>
      <c r="F32" s="17"/>
    </row>
    <row r="33" spans="1:6" ht="23.15" x14ac:dyDescent="0.6">
      <c r="A33" s="1" t="s">
        <v>22</v>
      </c>
      <c r="B33" s="1">
        <v>170</v>
      </c>
      <c r="C33" s="25" t="s">
        <v>6</v>
      </c>
      <c r="D33" s="12">
        <v>500</v>
      </c>
      <c r="E33" s="23">
        <v>500</v>
      </c>
      <c r="F33" s="17"/>
    </row>
    <row r="34" spans="1:6" ht="23.15" x14ac:dyDescent="0.6">
      <c r="A34" s="26" t="s">
        <v>24</v>
      </c>
      <c r="B34" s="1"/>
      <c r="C34" s="25" t="s">
        <v>23</v>
      </c>
      <c r="D34" s="12">
        <v>500</v>
      </c>
      <c r="E34" s="23">
        <v>0</v>
      </c>
      <c r="F34" s="17"/>
    </row>
    <row r="35" spans="1:6" ht="23.15" x14ac:dyDescent="0.6">
      <c r="A35" s="5" t="s">
        <v>25</v>
      </c>
      <c r="B35" s="4"/>
      <c r="D35" s="13"/>
    </row>
    <row r="36" spans="1:6" ht="23.15" x14ac:dyDescent="0.6">
      <c r="A36" s="5"/>
      <c r="B36" s="4"/>
      <c r="D36" s="13"/>
    </row>
    <row r="37" spans="1:6" ht="23.15" x14ac:dyDescent="0.6">
      <c r="A37" s="5"/>
      <c r="B37" s="4"/>
      <c r="D37" s="13"/>
    </row>
    <row r="38" spans="1:6" ht="23.15" x14ac:dyDescent="0.6">
      <c r="A38" s="5"/>
      <c r="B38" s="4"/>
      <c r="D38" s="13"/>
    </row>
    <row r="39" spans="1:6" ht="23.15" x14ac:dyDescent="0.6">
      <c r="A39" s="5"/>
      <c r="B39" s="4"/>
      <c r="C39" s="7"/>
      <c r="D39" s="13"/>
    </row>
    <row r="40" spans="1:6" ht="23.15" x14ac:dyDescent="0.6">
      <c r="A40" s="5"/>
      <c r="B40" s="4"/>
      <c r="D40" s="13"/>
    </row>
    <row r="41" spans="1:6" ht="23.15" x14ac:dyDescent="0.6">
      <c r="A41" s="5"/>
      <c r="B41" s="4"/>
      <c r="D41" s="13"/>
    </row>
    <row r="42" spans="1:6" ht="23.15" x14ac:dyDescent="0.6">
      <c r="A42" s="5"/>
      <c r="B42" s="4"/>
      <c r="D42" s="13"/>
    </row>
    <row r="43" spans="1:6" ht="23.15" x14ac:dyDescent="0.6">
      <c r="A43" s="5"/>
      <c r="B43" s="4"/>
      <c r="D43" s="13"/>
    </row>
    <row r="44" spans="1:6" ht="23.15" x14ac:dyDescent="0.6">
      <c r="A44" s="10"/>
      <c r="B44" s="4"/>
      <c r="D44" s="13"/>
    </row>
    <row r="45" spans="1:6" ht="23.15" x14ac:dyDescent="0.6">
      <c r="A45" s="5"/>
      <c r="B45" s="4"/>
      <c r="D45" s="13"/>
    </row>
    <row r="46" spans="1:6" ht="23.15" x14ac:dyDescent="0.6">
      <c r="A46" s="5"/>
      <c r="B46" s="4"/>
      <c r="D46" s="13"/>
    </row>
    <row r="47" spans="1:6" ht="23.15" x14ac:dyDescent="0.6">
      <c r="A47" s="5"/>
      <c r="B47" s="4"/>
      <c r="D47" s="13"/>
    </row>
    <row r="48" spans="1:6" ht="23.15" x14ac:dyDescent="0.6">
      <c r="A48" s="5"/>
      <c r="B48" s="4"/>
      <c r="D48" s="13"/>
    </row>
    <row r="49" spans="1:4" ht="23.15" x14ac:dyDescent="0.6">
      <c r="A49" s="5"/>
      <c r="B49" s="4"/>
      <c r="D49" s="13"/>
    </row>
    <row r="50" spans="1:4" ht="23.15" x14ac:dyDescent="0.6">
      <c r="A50" s="5"/>
      <c r="B50" s="4"/>
      <c r="D50" s="13"/>
    </row>
    <row r="51" spans="1:4" ht="23.15" x14ac:dyDescent="0.6">
      <c r="A51" s="5"/>
      <c r="B51" s="4"/>
      <c r="D51" s="13"/>
    </row>
    <row r="52" spans="1:4" ht="23.15" x14ac:dyDescent="0.6">
      <c r="A52" s="5"/>
      <c r="B52" s="4"/>
      <c r="D52" s="13"/>
    </row>
    <row r="53" spans="1:4" ht="23.15" x14ac:dyDescent="0.6">
      <c r="A53" s="5"/>
      <c r="B53" s="4"/>
      <c r="D53" s="13"/>
    </row>
    <row r="54" spans="1:4" ht="23.15" x14ac:dyDescent="0.6">
      <c r="A54" s="5"/>
      <c r="B54" s="4"/>
      <c r="D54" s="13"/>
    </row>
    <row r="55" spans="1:4" ht="23.15" x14ac:dyDescent="0.6">
      <c r="A55" s="5"/>
      <c r="B55" s="4"/>
      <c r="D55" s="13"/>
    </row>
    <row r="56" spans="1:4" ht="23.15" x14ac:dyDescent="0.6">
      <c r="A56" s="5"/>
      <c r="B56" s="4"/>
      <c r="D56" s="13"/>
    </row>
    <row r="57" spans="1:4" ht="23.15" x14ac:dyDescent="0.6">
      <c r="A57" s="5"/>
      <c r="B57" s="4"/>
      <c r="D57" s="13"/>
    </row>
    <row r="58" spans="1:4" ht="23.15" x14ac:dyDescent="0.6">
      <c r="A58" s="5"/>
      <c r="B58" s="4"/>
      <c r="D58" s="13"/>
    </row>
    <row r="59" spans="1:4" ht="23.15" x14ac:dyDescent="0.6">
      <c r="A59" s="5"/>
      <c r="B59" s="4"/>
      <c r="D59" s="13"/>
    </row>
    <row r="60" spans="1:4" ht="23.15" x14ac:dyDescent="0.6">
      <c r="A60" s="5"/>
      <c r="B60" s="4"/>
      <c r="D60" s="13"/>
    </row>
    <row r="61" spans="1:4" ht="23.15" x14ac:dyDescent="0.6">
      <c r="A61" s="5"/>
      <c r="B61" s="4"/>
      <c r="D61" s="13"/>
    </row>
    <row r="62" spans="1:4" ht="23.15" x14ac:dyDescent="0.6">
      <c r="A62" s="5"/>
      <c r="B62" s="4"/>
      <c r="D62" s="13"/>
    </row>
    <row r="63" spans="1:4" ht="23.15" x14ac:dyDescent="0.6">
      <c r="A63" s="5"/>
      <c r="B63" s="4"/>
      <c r="D63" s="13"/>
    </row>
    <row r="64" spans="1:4" ht="23.15" x14ac:dyDescent="0.6">
      <c r="A64" s="5"/>
      <c r="B64" s="4"/>
      <c r="D64" s="13"/>
    </row>
    <row r="65" spans="1:4" ht="23.15" x14ac:dyDescent="0.6">
      <c r="A65" s="6"/>
      <c r="B65" s="4"/>
      <c r="D65" s="13"/>
    </row>
    <row r="66" spans="1:4" ht="23.15" x14ac:dyDescent="0.6">
      <c r="A66" s="5"/>
      <c r="B66" s="4"/>
      <c r="D66" s="13"/>
    </row>
    <row r="67" spans="1:4" ht="23.15" x14ac:dyDescent="0.6">
      <c r="A67" s="5"/>
      <c r="B67" s="4"/>
      <c r="D67" s="13"/>
    </row>
    <row r="68" spans="1:4" ht="23.15" x14ac:dyDescent="0.6">
      <c r="A68" s="5"/>
      <c r="B68" s="4"/>
      <c r="D68" s="13"/>
    </row>
    <row r="69" spans="1:4" ht="23.15" x14ac:dyDescent="0.6">
      <c r="A69" s="5"/>
      <c r="B69" s="4"/>
      <c r="D69" s="13"/>
    </row>
    <row r="70" spans="1:4" ht="23.15" x14ac:dyDescent="0.6">
      <c r="A70" s="5"/>
      <c r="B70" s="4"/>
      <c r="D70" s="13"/>
    </row>
    <row r="71" spans="1:4" ht="23.15" x14ac:dyDescent="0.6">
      <c r="A71" s="5"/>
      <c r="B71" s="4"/>
      <c r="D71" s="13"/>
    </row>
    <row r="72" spans="1:4" ht="23.15" x14ac:dyDescent="0.6">
      <c r="A72" s="5"/>
      <c r="B72" s="4"/>
      <c r="D72" s="13"/>
    </row>
    <row r="73" spans="1:4" ht="23.15" x14ac:dyDescent="0.6">
      <c r="A73" s="5"/>
      <c r="B73" s="4"/>
      <c r="D73" s="13"/>
    </row>
    <row r="74" spans="1:4" ht="23.15" x14ac:dyDescent="0.6">
      <c r="A74" s="5"/>
      <c r="B74" s="4"/>
      <c r="D74" s="13"/>
    </row>
    <row r="75" spans="1:4" ht="23.15" x14ac:dyDescent="0.6">
      <c r="A75" s="5"/>
      <c r="B75" s="4"/>
      <c r="D75" s="13"/>
    </row>
    <row r="76" spans="1:4" ht="23.15" x14ac:dyDescent="0.6">
      <c r="A76" s="5"/>
      <c r="B76" s="4"/>
      <c r="D76" s="13"/>
    </row>
    <row r="77" spans="1:4" ht="23.15" x14ac:dyDescent="0.6">
      <c r="A77" s="5"/>
      <c r="B77" s="4"/>
      <c r="D77" s="13"/>
    </row>
    <row r="78" spans="1:4" ht="23.15" x14ac:dyDescent="0.6">
      <c r="A78" s="5"/>
      <c r="B78" s="4"/>
      <c r="D78" s="13"/>
    </row>
    <row r="79" spans="1:4" ht="23.15" x14ac:dyDescent="0.6">
      <c r="A79" s="5"/>
      <c r="B79" s="4"/>
      <c r="D79" s="13"/>
    </row>
    <row r="80" spans="1:4" ht="23.15" x14ac:dyDescent="0.6">
      <c r="A80" s="5"/>
      <c r="B80" s="4"/>
      <c r="D80" s="13"/>
    </row>
    <row r="81" spans="1:4" ht="23.15" x14ac:dyDescent="0.6">
      <c r="A81" s="5"/>
      <c r="B81" s="4"/>
      <c r="D81" s="13"/>
    </row>
    <row r="82" spans="1:4" ht="23.15" x14ac:dyDescent="0.6">
      <c r="A82" s="5"/>
      <c r="B82" s="4"/>
      <c r="D82" s="13"/>
    </row>
    <row r="83" spans="1:4" ht="23.15" x14ac:dyDescent="0.6">
      <c r="A83" s="5"/>
      <c r="B83" s="4"/>
      <c r="D83" s="13"/>
    </row>
    <row r="84" spans="1:4" ht="23.15" x14ac:dyDescent="0.6">
      <c r="A84" s="5"/>
      <c r="B84" s="4"/>
      <c r="D84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0188-B608-4496-898F-5CE8BA620270}">
  <dimension ref="A1:I44"/>
  <sheetViews>
    <sheetView tabSelected="1" topLeftCell="A19" workbookViewId="0">
      <selection activeCell="E31" sqref="E31"/>
    </sheetView>
  </sheetViews>
  <sheetFormatPr defaultRowHeight="14.6" x14ac:dyDescent="0.4"/>
  <cols>
    <col min="1" max="1" width="9.921875" bestFit="1" customWidth="1"/>
    <col min="2" max="2" width="9.921875" style="30" customWidth="1"/>
    <col min="4" max="4" width="23.3046875" style="28" customWidth="1"/>
    <col min="5" max="6" width="10.4609375" style="28" customWidth="1"/>
  </cols>
  <sheetData>
    <row r="1" spans="1:9" x14ac:dyDescent="0.4">
      <c r="H1" t="s">
        <v>39</v>
      </c>
    </row>
    <row r="3" spans="1:9" s="28" customFormat="1" x14ac:dyDescent="0.4">
      <c r="A3" s="28" t="s">
        <v>27</v>
      </c>
      <c r="B3" s="30" t="s">
        <v>52</v>
      </c>
      <c r="C3" s="28" t="s">
        <v>28</v>
      </c>
      <c r="D3" s="28" t="s">
        <v>29</v>
      </c>
      <c r="E3" s="28" t="s">
        <v>56</v>
      </c>
      <c r="F3" s="28" t="s">
        <v>53</v>
      </c>
      <c r="G3" s="28" t="s">
        <v>40</v>
      </c>
      <c r="H3" s="28" t="s">
        <v>41</v>
      </c>
      <c r="I3" s="28" t="s">
        <v>58</v>
      </c>
    </row>
    <row r="4" spans="1:9" x14ac:dyDescent="0.4">
      <c r="A4" s="29">
        <v>46172</v>
      </c>
      <c r="B4" s="30" t="s">
        <v>32</v>
      </c>
      <c r="C4">
        <v>52</v>
      </c>
      <c r="D4" s="28" t="s">
        <v>26</v>
      </c>
      <c r="F4" s="28" t="s">
        <v>54</v>
      </c>
      <c r="G4">
        <v>400</v>
      </c>
    </row>
    <row r="5" spans="1:9" x14ac:dyDescent="0.4">
      <c r="A5" s="29">
        <v>46173</v>
      </c>
      <c r="B5" s="30">
        <v>3</v>
      </c>
      <c r="C5">
        <v>158</v>
      </c>
      <c r="D5" s="28" t="s">
        <v>33</v>
      </c>
      <c r="F5" s="28" t="s">
        <v>54</v>
      </c>
      <c r="G5">
        <v>1000</v>
      </c>
    </row>
    <row r="6" spans="1:9" x14ac:dyDescent="0.4">
      <c r="A6" s="29">
        <v>46172</v>
      </c>
      <c r="B6" s="30" t="s">
        <v>32</v>
      </c>
      <c r="C6">
        <v>138</v>
      </c>
      <c r="F6" s="28" t="s">
        <v>54</v>
      </c>
      <c r="G6">
        <v>1000</v>
      </c>
    </row>
    <row r="7" spans="1:9" x14ac:dyDescent="0.4">
      <c r="A7" s="29">
        <v>46172</v>
      </c>
      <c r="C7">
        <v>164</v>
      </c>
      <c r="D7" s="28" t="s">
        <v>37</v>
      </c>
      <c r="F7" s="28" t="s">
        <v>54</v>
      </c>
      <c r="G7">
        <v>2500</v>
      </c>
    </row>
    <row r="8" spans="1:9" x14ac:dyDescent="0.4">
      <c r="A8" s="29">
        <v>46157</v>
      </c>
      <c r="B8" s="30" t="s">
        <v>35</v>
      </c>
      <c r="C8">
        <v>174</v>
      </c>
      <c r="D8" s="28" t="s">
        <v>38</v>
      </c>
      <c r="F8" s="28" t="s">
        <v>55</v>
      </c>
      <c r="G8">
        <v>1000</v>
      </c>
    </row>
    <row r="9" spans="1:9" x14ac:dyDescent="0.4">
      <c r="A9" s="29">
        <v>46157</v>
      </c>
      <c r="B9" s="30" t="s">
        <v>35</v>
      </c>
      <c r="C9">
        <v>159</v>
      </c>
      <c r="F9" s="28" t="s">
        <v>54</v>
      </c>
      <c r="G9">
        <v>1000</v>
      </c>
    </row>
    <row r="10" spans="1:9" x14ac:dyDescent="0.4">
      <c r="A10" s="29">
        <v>46157</v>
      </c>
      <c r="D10" s="28" t="s">
        <v>42</v>
      </c>
      <c r="H10">
        <v>1350</v>
      </c>
    </row>
    <row r="11" spans="1:9" x14ac:dyDescent="0.4">
      <c r="A11" s="29">
        <v>46164</v>
      </c>
      <c r="B11" s="30" t="s">
        <v>32</v>
      </c>
      <c r="C11">
        <v>142</v>
      </c>
      <c r="D11" s="28" t="s">
        <v>43</v>
      </c>
      <c r="F11" s="28" t="s">
        <v>54</v>
      </c>
      <c r="G11">
        <v>1000</v>
      </c>
    </row>
    <row r="12" spans="1:9" x14ac:dyDescent="0.4">
      <c r="A12" s="29">
        <v>46163</v>
      </c>
      <c r="B12" s="30" t="s">
        <v>35</v>
      </c>
      <c r="C12">
        <v>167</v>
      </c>
      <c r="F12" s="28" t="s">
        <v>54</v>
      </c>
      <c r="G12">
        <v>700</v>
      </c>
    </row>
    <row r="13" spans="1:9" x14ac:dyDescent="0.4">
      <c r="A13" s="29">
        <v>46163</v>
      </c>
      <c r="B13" s="30" t="s">
        <v>35</v>
      </c>
      <c r="C13">
        <v>171</v>
      </c>
      <c r="D13" s="28" t="s">
        <v>45</v>
      </c>
      <c r="F13" s="28" t="s">
        <v>54</v>
      </c>
      <c r="G13">
        <v>500</v>
      </c>
    </row>
    <row r="14" spans="1:9" x14ac:dyDescent="0.4">
      <c r="A14" s="29">
        <v>46163</v>
      </c>
      <c r="B14" s="30" t="s">
        <v>35</v>
      </c>
      <c r="C14">
        <v>162</v>
      </c>
      <c r="F14" s="28" t="s">
        <v>54</v>
      </c>
      <c r="G14">
        <v>1200</v>
      </c>
    </row>
    <row r="15" spans="1:9" x14ac:dyDescent="0.4">
      <c r="A15" s="29">
        <v>46163</v>
      </c>
      <c r="B15" s="30" t="s">
        <v>32</v>
      </c>
      <c r="C15">
        <v>108</v>
      </c>
      <c r="F15" s="28" t="s">
        <v>54</v>
      </c>
      <c r="G15">
        <v>1000</v>
      </c>
    </row>
    <row r="16" spans="1:9" x14ac:dyDescent="0.4">
      <c r="A16" t="s">
        <v>44</v>
      </c>
      <c r="B16" s="30" t="s">
        <v>44</v>
      </c>
      <c r="C16" t="s">
        <v>44</v>
      </c>
      <c r="D16" s="28" t="s">
        <v>44</v>
      </c>
      <c r="G16">
        <v>750</v>
      </c>
    </row>
    <row r="17" spans="1:9" x14ac:dyDescent="0.4">
      <c r="A17" s="29">
        <v>46177</v>
      </c>
      <c r="B17" s="30" t="s">
        <v>32</v>
      </c>
      <c r="C17">
        <v>133</v>
      </c>
      <c r="E17" s="28" t="s">
        <v>48</v>
      </c>
      <c r="F17" s="28" t="s">
        <v>54</v>
      </c>
      <c r="G17">
        <v>1000</v>
      </c>
    </row>
    <row r="18" spans="1:9" x14ac:dyDescent="0.4">
      <c r="A18" s="29">
        <v>46177</v>
      </c>
      <c r="B18" s="30" t="s">
        <v>32</v>
      </c>
      <c r="C18">
        <v>134</v>
      </c>
      <c r="E18" s="28" t="s">
        <v>49</v>
      </c>
      <c r="F18" s="28" t="s">
        <v>54</v>
      </c>
      <c r="G18">
        <v>1000</v>
      </c>
    </row>
    <row r="19" spans="1:9" x14ac:dyDescent="0.4">
      <c r="A19" s="29">
        <v>46177</v>
      </c>
      <c r="B19" s="30" t="s">
        <v>32</v>
      </c>
      <c r="C19">
        <v>134</v>
      </c>
      <c r="E19" s="28" t="s">
        <v>50</v>
      </c>
      <c r="F19" s="28" t="s">
        <v>54</v>
      </c>
      <c r="G19">
        <v>1000</v>
      </c>
    </row>
    <row r="20" spans="1:9" x14ac:dyDescent="0.4">
      <c r="A20" s="29">
        <v>46178</v>
      </c>
      <c r="B20" s="30" t="s">
        <v>51</v>
      </c>
      <c r="C20">
        <v>16</v>
      </c>
      <c r="F20" s="28" t="s">
        <v>54</v>
      </c>
      <c r="G20">
        <v>700</v>
      </c>
    </row>
    <row r="21" spans="1:9" x14ac:dyDescent="0.4">
      <c r="A21" s="29">
        <v>46165</v>
      </c>
      <c r="E21" s="28" t="s">
        <v>57</v>
      </c>
      <c r="F21" s="28" t="s">
        <v>54</v>
      </c>
      <c r="G21">
        <v>1000</v>
      </c>
      <c r="I21" t="s">
        <v>61</v>
      </c>
    </row>
    <row r="22" spans="1:9" x14ac:dyDescent="0.4">
      <c r="A22" s="29">
        <v>46172</v>
      </c>
      <c r="E22" s="28" t="s">
        <v>59</v>
      </c>
      <c r="F22" s="28" t="s">
        <v>54</v>
      </c>
      <c r="G22">
        <v>800</v>
      </c>
      <c r="I22" t="s">
        <v>61</v>
      </c>
    </row>
    <row r="23" spans="1:9" x14ac:dyDescent="0.4">
      <c r="A23" s="29">
        <v>46173</v>
      </c>
      <c r="E23" s="28" t="s">
        <v>60</v>
      </c>
      <c r="F23" s="28" t="s">
        <v>54</v>
      </c>
      <c r="G23">
        <v>500</v>
      </c>
      <c r="I23" t="s">
        <v>61</v>
      </c>
    </row>
    <row r="24" spans="1:9" x14ac:dyDescent="0.4">
      <c r="A24" s="29">
        <v>46167</v>
      </c>
      <c r="E24" s="28" t="s">
        <v>62</v>
      </c>
      <c r="F24" s="28" t="s">
        <v>54</v>
      </c>
      <c r="G24">
        <v>150</v>
      </c>
      <c r="I24" t="s">
        <v>61</v>
      </c>
    </row>
    <row r="25" spans="1:9" x14ac:dyDescent="0.4">
      <c r="A25" s="29">
        <v>46172</v>
      </c>
      <c r="E25" s="28" t="s">
        <v>63</v>
      </c>
      <c r="F25" s="28" t="s">
        <v>54</v>
      </c>
      <c r="G25">
        <v>500</v>
      </c>
      <c r="I25" t="s">
        <v>61</v>
      </c>
    </row>
    <row r="26" spans="1:9" x14ac:dyDescent="0.4">
      <c r="A26" s="29">
        <v>46172</v>
      </c>
      <c r="E26" s="28" t="s">
        <v>64</v>
      </c>
      <c r="F26" s="28" t="s">
        <v>54</v>
      </c>
      <c r="G26">
        <v>500</v>
      </c>
      <c r="I26" t="s">
        <v>61</v>
      </c>
    </row>
    <row r="27" spans="1:9" x14ac:dyDescent="0.4">
      <c r="A27" s="29">
        <v>46174</v>
      </c>
      <c r="E27" s="28" t="s">
        <v>65</v>
      </c>
      <c r="F27" s="28" t="s">
        <v>54</v>
      </c>
      <c r="G27">
        <v>500</v>
      </c>
      <c r="I27" t="s">
        <v>61</v>
      </c>
    </row>
    <row r="28" spans="1:9" x14ac:dyDescent="0.4">
      <c r="A28" s="29">
        <v>46174</v>
      </c>
      <c r="E28" s="28">
        <v>8092</v>
      </c>
      <c r="F28" s="28" t="s">
        <v>54</v>
      </c>
      <c r="G28">
        <v>500</v>
      </c>
      <c r="I28" t="s">
        <v>61</v>
      </c>
    </row>
    <row r="29" spans="1:9" x14ac:dyDescent="0.4">
      <c r="A29" s="29">
        <v>46174</v>
      </c>
      <c r="B29" s="30" t="s">
        <v>66</v>
      </c>
      <c r="F29" s="28" t="s">
        <v>54</v>
      </c>
      <c r="G29">
        <v>2000</v>
      </c>
      <c r="I29" t="s">
        <v>61</v>
      </c>
    </row>
    <row r="30" spans="1:9" x14ac:dyDescent="0.4">
      <c r="A30" s="29">
        <v>46174</v>
      </c>
      <c r="E30" s="28" t="s">
        <v>67</v>
      </c>
      <c r="F30" s="28" t="s">
        <v>54</v>
      </c>
      <c r="G30">
        <v>500</v>
      </c>
      <c r="I30" t="s">
        <v>61</v>
      </c>
    </row>
    <row r="31" spans="1:9" x14ac:dyDescent="0.4">
      <c r="A31" s="29">
        <v>46174</v>
      </c>
      <c r="E31" s="28" t="s">
        <v>68</v>
      </c>
      <c r="F31" s="28" t="s">
        <v>54</v>
      </c>
      <c r="G31">
        <v>500</v>
      </c>
      <c r="I31" t="s">
        <v>61</v>
      </c>
    </row>
    <row r="32" spans="1:9" x14ac:dyDescent="0.4">
      <c r="A32" s="29">
        <v>46174</v>
      </c>
      <c r="E32" s="28">
        <v>9000</v>
      </c>
      <c r="F32" s="28" t="s">
        <v>54</v>
      </c>
      <c r="G32">
        <v>300</v>
      </c>
      <c r="I32" t="s">
        <v>61</v>
      </c>
    </row>
    <row r="33" spans="1:9" x14ac:dyDescent="0.4">
      <c r="A33" s="29">
        <v>46174</v>
      </c>
      <c r="E33" s="28">
        <v>5003</v>
      </c>
      <c r="F33" s="28" t="s">
        <v>54</v>
      </c>
      <c r="G33">
        <v>500</v>
      </c>
      <c r="I33" t="s">
        <v>61</v>
      </c>
    </row>
    <row r="34" spans="1:9" x14ac:dyDescent="0.4">
      <c r="A34" s="29">
        <v>46174</v>
      </c>
      <c r="E34" s="28">
        <v>9868</v>
      </c>
      <c r="F34" s="28" t="s">
        <v>54</v>
      </c>
      <c r="G34">
        <v>500</v>
      </c>
      <c r="I34" t="s">
        <v>61</v>
      </c>
    </row>
    <row r="35" spans="1:9" x14ac:dyDescent="0.4">
      <c r="A35" s="29">
        <v>46174</v>
      </c>
      <c r="C35">
        <v>132</v>
      </c>
      <c r="F35" s="28" t="s">
        <v>69</v>
      </c>
      <c r="G35">
        <v>400</v>
      </c>
      <c r="I35" t="s">
        <v>61</v>
      </c>
    </row>
    <row r="36" spans="1:9" x14ac:dyDescent="0.4">
      <c r="A36" s="29"/>
    </row>
    <row r="37" spans="1:9" x14ac:dyDescent="0.4">
      <c r="A37" s="29"/>
    </row>
    <row r="38" spans="1:9" x14ac:dyDescent="0.4">
      <c r="A38" s="29"/>
    </row>
    <row r="39" spans="1:9" x14ac:dyDescent="0.4">
      <c r="A39" s="29"/>
      <c r="G39">
        <f>SUM(G4:G24)</f>
        <v>18200</v>
      </c>
      <c r="H39">
        <f>SUM(H4:H19)</f>
        <v>1350</v>
      </c>
      <c r="I39">
        <f>G39-H39</f>
        <v>16850</v>
      </c>
    </row>
    <row r="40" spans="1:9" x14ac:dyDescent="0.4">
      <c r="A40" s="29"/>
    </row>
    <row r="41" spans="1:9" x14ac:dyDescent="0.4">
      <c r="B41" s="30" t="s">
        <v>46</v>
      </c>
      <c r="G41">
        <v>7900</v>
      </c>
      <c r="H41">
        <v>6600</v>
      </c>
      <c r="I41">
        <v>1300</v>
      </c>
    </row>
    <row r="42" spans="1:9" x14ac:dyDescent="0.4">
      <c r="B42" s="30" t="s">
        <v>32</v>
      </c>
      <c r="G42">
        <v>11500</v>
      </c>
      <c r="H42">
        <v>11000</v>
      </c>
      <c r="I42">
        <v>500</v>
      </c>
    </row>
    <row r="43" spans="1:9" x14ac:dyDescent="0.4">
      <c r="B43" s="30" t="s">
        <v>47</v>
      </c>
      <c r="G43">
        <v>6750</v>
      </c>
    </row>
    <row r="44" spans="1:9" x14ac:dyDescent="0.4">
      <c r="G44">
        <f>SUM(G41:G43)</f>
        <v>26150</v>
      </c>
      <c r="H44">
        <f>SUM(H41:H42)</f>
        <v>17600</v>
      </c>
      <c r="I44">
        <f xml:space="preserve"> G44-H44</f>
        <v>8550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95DC-3152-4695-8E0F-0EDE85B1FE06}">
  <dimension ref="A1:F6"/>
  <sheetViews>
    <sheetView workbookViewId="0">
      <selection activeCell="E8" sqref="E8"/>
    </sheetView>
  </sheetViews>
  <sheetFormatPr defaultRowHeight="14.6" x14ac:dyDescent="0.4"/>
  <cols>
    <col min="1" max="1" width="9.921875" bestFit="1" customWidth="1"/>
    <col min="2" max="2" width="9.921875" style="30" customWidth="1"/>
    <col min="4" max="4" width="23.3046875" style="28" customWidth="1"/>
  </cols>
  <sheetData>
    <row r="1" spans="1:6" x14ac:dyDescent="0.4">
      <c r="F1" t="s">
        <v>34</v>
      </c>
    </row>
    <row r="2" spans="1:6" s="28" customFormat="1" x14ac:dyDescent="0.4">
      <c r="A2" s="28" t="s">
        <v>27</v>
      </c>
      <c r="B2" s="30" t="s">
        <v>31</v>
      </c>
      <c r="C2" s="28" t="s">
        <v>28</v>
      </c>
      <c r="D2" s="28" t="s">
        <v>29</v>
      </c>
      <c r="E2" s="28" t="s">
        <v>30</v>
      </c>
    </row>
    <row r="3" spans="1:6" x14ac:dyDescent="0.4">
      <c r="A3" s="29">
        <v>46173</v>
      </c>
      <c r="B3" s="30" t="s">
        <v>35</v>
      </c>
      <c r="C3">
        <v>159</v>
      </c>
      <c r="E3">
        <v>350</v>
      </c>
    </row>
    <row r="4" spans="1:6" x14ac:dyDescent="0.4">
      <c r="A4" s="29">
        <v>46172</v>
      </c>
      <c r="B4" s="30" t="s">
        <v>32</v>
      </c>
      <c r="C4">
        <v>128</v>
      </c>
      <c r="D4" s="28" t="s">
        <v>36</v>
      </c>
      <c r="E4">
        <v>350</v>
      </c>
    </row>
    <row r="5" spans="1:6" x14ac:dyDescent="0.4">
      <c r="A5" s="29">
        <v>46172</v>
      </c>
      <c r="C5">
        <v>80</v>
      </c>
      <c r="E5">
        <v>350</v>
      </c>
    </row>
    <row r="6" spans="1:6" x14ac:dyDescent="0.4">
      <c r="A6" s="29">
        <v>46172</v>
      </c>
      <c r="C6">
        <v>42</v>
      </c>
      <c r="E6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Sheet1</vt:lpstr>
      <vt:lpstr>remote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</dc:creator>
  <cp:lastModifiedBy>John Connor</cp:lastModifiedBy>
  <dcterms:created xsi:type="dcterms:W3CDTF">2022-09-23T11:03:28Z</dcterms:created>
  <dcterms:modified xsi:type="dcterms:W3CDTF">2026-06-18T19:30:53Z</dcterms:modified>
</cp:coreProperties>
</file>