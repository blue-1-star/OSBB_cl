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san/Developer/Projects/OSBB_cl/data/raw/typed/"/>
    </mc:Choice>
  </mc:AlternateContent>
  <xr:revisionPtr revIDLastSave="0" documentId="13_ncr:1_{FDAB6BF7-77A6-A745-A178-03DA4C1EA68D}" xr6:coauthVersionLast="47" xr6:coauthVersionMax="47" xr10:uidLastSave="{00000000-0000-0000-0000-000000000000}"/>
  <bookViews>
    <workbookView xWindow="0" yWindow="660" windowWidth="30240" windowHeight="17860" xr2:uid="{00000000-000D-0000-FFFF-FFFF00000000}"/>
  </bookViews>
  <sheets>
    <sheet name="Видача пультів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1" l="1"/>
  <c r="H8" i="1"/>
  <c r="H7" i="1"/>
  <c r="H6" i="1"/>
  <c r="H5" i="1"/>
</calcChain>
</file>

<file path=xl/sharedStrings.xml><?xml version="1.0" encoding="utf-8"?>
<sst xmlns="http://schemas.openxmlformats.org/spreadsheetml/2006/main" count="171" uniqueCount="163">
  <si>
    <t>Дані перенесено з п’яти наданих сторінок. Значення «Підпис» = TRUE, якщо підпис видно біля рядка на паперовій відомості.</t>
  </si>
  <si>
    <t>Номер кв</t>
  </si>
  <si>
    <t>ПІБ</t>
  </si>
  <si>
    <t>Сума</t>
  </si>
  <si>
    <t>К-во пультів</t>
  </si>
  <si>
    <t>Підпис</t>
  </si>
  <si>
    <t>170</t>
  </si>
  <si>
    <t>Стеклов Андрій</t>
  </si>
  <si>
    <t>56</t>
  </si>
  <si>
    <t>Літвінова Анна</t>
  </si>
  <si>
    <t>161</t>
  </si>
  <si>
    <t>Федорович Юля</t>
  </si>
  <si>
    <t>174</t>
  </si>
  <si>
    <t>Третяк</t>
  </si>
  <si>
    <t>182, 5 п</t>
  </si>
  <si>
    <t>Фурман Людмила</t>
  </si>
  <si>
    <t>105, 106</t>
  </si>
  <si>
    <t>Андрушенко</t>
  </si>
  <si>
    <t>94</t>
  </si>
  <si>
    <t>Натха Сергій</t>
  </si>
  <si>
    <t>197</t>
  </si>
  <si>
    <t>Грибков Максим</t>
  </si>
  <si>
    <t>Дмитрук Сергій</t>
  </si>
  <si>
    <t>Феленок Олена</t>
  </si>
  <si>
    <t>160</t>
  </si>
  <si>
    <t>Карамушкін</t>
  </si>
  <si>
    <t>50</t>
  </si>
  <si>
    <t>Бочарова Нат</t>
  </si>
  <si>
    <t>Гнатовська Катя</t>
  </si>
  <si>
    <t>41</t>
  </si>
  <si>
    <t>Тарадов</t>
  </si>
  <si>
    <t>69</t>
  </si>
  <si>
    <t>Дегтярьов</t>
  </si>
  <si>
    <t>82</t>
  </si>
  <si>
    <t>кв. 82</t>
  </si>
  <si>
    <t>201</t>
  </si>
  <si>
    <t>Ричаківська</t>
  </si>
  <si>
    <t>Шелест Юрій</t>
  </si>
  <si>
    <t>Савченко Олексій</t>
  </si>
  <si>
    <t>185</t>
  </si>
  <si>
    <t>Голошевич Ольга</t>
  </si>
  <si>
    <t>Азаренко Ірина</t>
  </si>
  <si>
    <t>Бабич Ярослав</t>
  </si>
  <si>
    <t>186</t>
  </si>
  <si>
    <t>Шаповал</t>
  </si>
  <si>
    <t>167</t>
  </si>
  <si>
    <t>Баканова Окс</t>
  </si>
  <si>
    <t>187</t>
  </si>
  <si>
    <t>Прит Іван</t>
  </si>
  <si>
    <t>Сергієнко Дмитро</t>
  </si>
  <si>
    <t>98</t>
  </si>
  <si>
    <t>Загідько Валерій</t>
  </si>
  <si>
    <t>Зубанова Валентина</t>
  </si>
  <si>
    <t>Лукій Володимир</t>
  </si>
  <si>
    <t>180</t>
  </si>
  <si>
    <t>Шинкаренко</t>
  </si>
  <si>
    <t>6</t>
  </si>
  <si>
    <t>Журавська Катя</t>
  </si>
  <si>
    <t>122</t>
  </si>
  <si>
    <t>Куделя Віталій</t>
  </si>
  <si>
    <t>177</t>
  </si>
  <si>
    <t>Дєда Руслана</t>
  </si>
  <si>
    <t>120</t>
  </si>
  <si>
    <t>Джуранок Наталя</t>
  </si>
  <si>
    <t>25</t>
  </si>
  <si>
    <t>Кривохватко Іван</t>
  </si>
  <si>
    <t>12</t>
  </si>
  <si>
    <t>Козинець О.</t>
  </si>
  <si>
    <t>133</t>
  </si>
  <si>
    <t>Шаприло Костя</t>
  </si>
  <si>
    <t>203</t>
  </si>
  <si>
    <t>Костюнік Олена</t>
  </si>
  <si>
    <t>191, 192</t>
  </si>
  <si>
    <t>Савицька Наталія</t>
  </si>
  <si>
    <t>173</t>
  </si>
  <si>
    <t>Сиротенко</t>
  </si>
  <si>
    <t>162</t>
  </si>
  <si>
    <t>Мухіна Наталія</t>
  </si>
  <si>
    <t>202</t>
  </si>
  <si>
    <t>Старомінська Юлія</t>
  </si>
  <si>
    <t>125</t>
  </si>
  <si>
    <t>Горбач Валентин</t>
  </si>
  <si>
    <t>31</t>
  </si>
  <si>
    <t>Погорєлов Володимир</t>
  </si>
  <si>
    <t>196</t>
  </si>
  <si>
    <t>15</t>
  </si>
  <si>
    <t>Сергієнко Руслан</t>
  </si>
  <si>
    <t>Рудницький</t>
  </si>
  <si>
    <t>14</t>
  </si>
  <si>
    <t>Кононенко Костя</t>
  </si>
  <si>
    <t>89</t>
  </si>
  <si>
    <t>В’язовенко Ан.</t>
  </si>
  <si>
    <t>Палович Тетяна</t>
  </si>
  <si>
    <t>8</t>
  </si>
  <si>
    <t>Воронюк</t>
  </si>
  <si>
    <t>206</t>
  </si>
  <si>
    <t>Сіроткіна-Бур</t>
  </si>
  <si>
    <t>Капетій Анна</t>
  </si>
  <si>
    <t>Ульянов Костя</t>
  </si>
  <si>
    <t>3</t>
  </si>
  <si>
    <t>Хомяк В.</t>
  </si>
  <si>
    <t>Львова Юлія</t>
  </si>
  <si>
    <t>Якубець Світлана</t>
  </si>
  <si>
    <t>Позняк Наталія</t>
  </si>
  <si>
    <t>Болба Ольга</t>
  </si>
  <si>
    <t>Омельченко Станіслав</t>
  </si>
  <si>
    <t>171</t>
  </si>
  <si>
    <t>Чиж</t>
  </si>
  <si>
    <t>4 під’їзд</t>
  </si>
  <si>
    <t>Клевець</t>
  </si>
  <si>
    <t>194</t>
  </si>
  <si>
    <t>Пиличко</t>
  </si>
  <si>
    <t>195</t>
  </si>
  <si>
    <t>Стріха</t>
  </si>
  <si>
    <t>84</t>
  </si>
  <si>
    <t>Рувинська</t>
  </si>
  <si>
    <t>96</t>
  </si>
  <si>
    <t>Коваль М.</t>
  </si>
  <si>
    <t>138</t>
  </si>
  <si>
    <t>Черкас</t>
  </si>
  <si>
    <t>57</t>
  </si>
  <si>
    <t>Порошин</t>
  </si>
  <si>
    <t>30</t>
  </si>
  <si>
    <t>Воловин</t>
  </si>
  <si>
    <t>79</t>
  </si>
  <si>
    <t>Чепіль</t>
  </si>
  <si>
    <t>4</t>
  </si>
  <si>
    <t>Солдатова Ірина</t>
  </si>
  <si>
    <t>148</t>
  </si>
  <si>
    <t>кв. 148</t>
  </si>
  <si>
    <t>Гапонюк Андрій</t>
  </si>
  <si>
    <t>Лушенко Борис</t>
  </si>
  <si>
    <t>Дитячий заклад Sprout</t>
  </si>
  <si>
    <t>149</t>
  </si>
  <si>
    <t>Роєнко Алла</t>
  </si>
  <si>
    <t>Забоцький Володимир</t>
  </si>
  <si>
    <t>Альошина Олена</t>
  </si>
  <si>
    <t>Перцов Влад</t>
  </si>
  <si>
    <t>Гребьонкін</t>
  </si>
  <si>
    <t>Бондар</t>
  </si>
  <si>
    <t>Катерій Анна</t>
  </si>
  <si>
    <t>Ричаківська Андрій</t>
  </si>
  <si>
    <t>Тарадов Андрій</t>
  </si>
  <si>
    <t>Хомяк (3 кв.)</t>
  </si>
  <si>
    <t xml:space="preserve">Мітрохін </t>
  </si>
  <si>
    <t>Першков</t>
  </si>
  <si>
    <t>Артамонова</t>
  </si>
  <si>
    <t>Ковальов</t>
  </si>
  <si>
    <t>Пальчик</t>
  </si>
  <si>
    <t>Наталія</t>
  </si>
  <si>
    <t>Відомість видачі пультів — партія 1</t>
  </si>
  <si>
    <t>Підсумки партії 1</t>
  </si>
  <si>
    <t>Рядків у відомості</t>
  </si>
  <si>
    <t>Рядків із підписом</t>
  </si>
  <si>
    <t>Пультів із підписом</t>
  </si>
  <si>
    <t>Рядків із підписом, кількість на перевірці</t>
  </si>
  <si>
    <t>Сума за рядками з підписом</t>
  </si>
  <si>
    <t>144</t>
  </si>
  <si>
    <t>193</t>
  </si>
  <si>
    <t>188</t>
  </si>
  <si>
    <t>200</t>
  </si>
  <si>
    <t>126</t>
  </si>
  <si>
    <t>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</si>
</sst>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грн&quot;"/>
  </numFmts>
  <fonts count="7">
    <font>
      <sz val="11"/>
      <name val="Carlito"/>
    </font>
    <font>
      <b/>
      <sz val="14"/>
      <color rgb="FF1F1F1F"/>
      <name val="Carlito"/>
    </font>
    <font>
      <i/>
      <sz val="9"/>
      <color rgb="FF595959"/>
      <name val="Carlito"/>
    </font>
    <font>
      <b/>
      <sz val="10"/>
      <color rgb="FFFFFFFF"/>
      <name val="Arial"/>
      <family val="2"/>
    </font>
    <font>
      <sz val="10"/>
      <color rgb="FF1F2937"/>
      <name val="Arial"/>
      <family val="2"/>
    </font>
    <font>
      <sz val="10"/>
      <color rgb="FF9A3412"/>
      <name val="Arial"/>
      <family val="2"/>
    </font>
    <font>
      <b/>
      <sz val="10"/>
      <color rgb="FF1F2937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14A72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2" xfId="0" applyBorder="1"/>
    <xf numFmtId="0" fontId="3" fillId="2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4" fillId="0" borderId="3" xfId="0" applyFont="1" applyBorder="1"/>
    <xf numFmtId="164" fontId="4" fillId="0" borderId="3" xfId="0" applyNumberFormat="1" applyFont="1" applyBorder="1" applyAlignment="1">
      <alignment horizontal="center"/>
    </xf>
    <xf numFmtId="3" fontId="4" fillId="0" borderId="3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2" borderId="0" xfId="0" applyFont="1" applyFill="1"/>
    <xf numFmtId="164" fontId="4" fillId="0" borderId="3" xfId="0" applyNumberFormat="1" applyFont="1" applyBorder="1"/>
    <xf numFmtId="3" fontId="6" fillId="3" borderId="3" xfId="0" applyNumberFormat="1" applyFont="1" applyFill="1" applyBorder="1" applyAlignment="1">
      <alignment horizont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 wrapText="1"/>
    </xf>
    <xf numFmtId="0" fontId="5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"/>
  <sheetViews>
    <sheetView showGridLines="0" tabSelected="1" workbookViewId="0">
      <pane ySplit="4" topLeftCell="A18" activePane="bottomLeft" state="frozen"/>
      <selection pane="bottomLeft" activeCell="D86" sqref="D86"/>
    </sheetView>
  </sheetViews>
  <sheetFormatPr baseColWidth="10" defaultColWidth="8.83203125" defaultRowHeight="14"/>
  <cols>
    <col min="1" max="1" width="19" customWidth="1"/>
    <col min="2" max="2" width="30" customWidth="1"/>
    <col min="3" max="3" width="16" customWidth="1"/>
    <col min="4" max="4" width="17" customWidth="1"/>
    <col min="5" max="5" width="13" customWidth="1"/>
    <col min="7" max="7" width="44" customWidth="1"/>
    <col min="8" max="8" width="14" customWidth="1"/>
  </cols>
  <sheetData>
    <row r="1" spans="1:8" ht="25" customHeight="1">
      <c r="A1" s="12" t="s">
        <v>150</v>
      </c>
      <c r="B1" s="12"/>
      <c r="C1" s="12"/>
      <c r="D1" s="12"/>
      <c r="E1" s="12"/>
    </row>
    <row r="2" spans="1:8" ht="32" customHeight="1">
      <c r="A2" s="13" t="s">
        <v>0</v>
      </c>
      <c r="B2" s="13"/>
      <c r="C2" s="13"/>
      <c r="D2" s="13"/>
      <c r="E2" s="13"/>
    </row>
    <row r="4" spans="1:8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G4" s="9" t="s">
        <v>151</v>
      </c>
      <c r="H4" s="9"/>
    </row>
    <row r="5" spans="1:8" ht="22" customHeight="1">
      <c r="A5" s="4" t="s">
        <v>6</v>
      </c>
      <c r="B5" s="5" t="s">
        <v>7</v>
      </c>
      <c r="C5" s="6">
        <v>700</v>
      </c>
      <c r="D5" s="7">
        <v>2</v>
      </c>
      <c r="E5" s="8" t="b">
        <v>1</v>
      </c>
      <c r="G5" s="5" t="s">
        <v>152</v>
      </c>
      <c r="H5" s="5">
        <f>ROWS(A5:A100)</f>
        <v>96</v>
      </c>
    </row>
    <row r="6" spans="1:8" ht="22" customHeight="1">
      <c r="A6" s="4" t="s">
        <v>8</v>
      </c>
      <c r="B6" s="5" t="s">
        <v>9</v>
      </c>
      <c r="C6" s="6">
        <v>700</v>
      </c>
      <c r="D6" s="7">
        <v>2</v>
      </c>
      <c r="E6" s="8" t="b">
        <v>1</v>
      </c>
      <c r="G6" s="5" t="s">
        <v>153</v>
      </c>
      <c r="H6" s="5">
        <f>SUMPRODUCT(--(E5:E100=TRUE))</f>
        <v>51</v>
      </c>
    </row>
    <row r="7" spans="1:8" ht="22" customHeight="1">
      <c r="A7" s="4" t="s">
        <v>10</v>
      </c>
      <c r="B7" s="5" t="s">
        <v>11</v>
      </c>
      <c r="C7" s="6">
        <v>700</v>
      </c>
      <c r="D7" s="7">
        <v>2</v>
      </c>
      <c r="E7" s="8" t="b">
        <v>1</v>
      </c>
      <c r="G7" s="5" t="s">
        <v>154</v>
      </c>
      <c r="H7" s="5">
        <f>SUMPRODUCT((E5:E100=TRUE)*(D5:D100&lt;=10)*D5:D100)</f>
        <v>95</v>
      </c>
    </row>
    <row r="8" spans="1:8" ht="22" customHeight="1">
      <c r="A8" s="4" t="s">
        <v>12</v>
      </c>
      <c r="B8" s="5" t="s">
        <v>13</v>
      </c>
      <c r="C8" s="6">
        <v>350</v>
      </c>
      <c r="D8" s="7">
        <v>1</v>
      </c>
      <c r="E8" s="8" t="b">
        <v>1</v>
      </c>
      <c r="G8" s="5" t="s">
        <v>155</v>
      </c>
      <c r="H8" s="5">
        <f>SUMPRODUCT((E5:E100=TRUE)*(D5:D100&gt;10))</f>
        <v>0</v>
      </c>
    </row>
    <row r="9" spans="1:8" ht="22" customHeight="1">
      <c r="A9" s="4" t="s">
        <v>14</v>
      </c>
      <c r="B9" s="5" t="s">
        <v>15</v>
      </c>
      <c r="C9" s="6">
        <v>700</v>
      </c>
      <c r="D9" s="7">
        <v>2</v>
      </c>
      <c r="E9" s="8" t="b">
        <v>1</v>
      </c>
      <c r="G9" s="5" t="s">
        <v>156</v>
      </c>
      <c r="H9" s="10">
        <f>SUMPRODUCT((E5:E100=TRUE)*C5:C100)</f>
        <v>32900</v>
      </c>
    </row>
    <row r="10" spans="1:8" ht="22" customHeight="1">
      <c r="A10" s="4" t="s">
        <v>16</v>
      </c>
      <c r="B10" s="5" t="s">
        <v>17</v>
      </c>
      <c r="C10" s="6">
        <v>1050</v>
      </c>
      <c r="D10" s="7">
        <v>3</v>
      </c>
      <c r="E10" s="8" t="b">
        <v>1</v>
      </c>
    </row>
    <row r="11" spans="1:8" ht="22" customHeight="1">
      <c r="A11" s="4" t="s">
        <v>18</v>
      </c>
      <c r="B11" s="5" t="s">
        <v>19</v>
      </c>
      <c r="C11" s="6">
        <v>350</v>
      </c>
      <c r="D11" s="7">
        <v>1</v>
      </c>
      <c r="E11" s="8" t="b">
        <v>1</v>
      </c>
      <c r="G11" s="14"/>
      <c r="H11" s="15"/>
    </row>
    <row r="12" spans="1:8" ht="22" customHeight="1">
      <c r="A12" s="4" t="s">
        <v>20</v>
      </c>
      <c r="B12" s="5" t="s">
        <v>21</v>
      </c>
      <c r="C12" s="6">
        <v>350</v>
      </c>
      <c r="D12" s="7">
        <v>1</v>
      </c>
      <c r="E12" s="8" t="b">
        <v>0</v>
      </c>
    </row>
    <row r="13" spans="1:8" ht="22" customHeight="1">
      <c r="A13" s="4" t="s">
        <v>157</v>
      </c>
      <c r="B13" s="5" t="s">
        <v>22</v>
      </c>
      <c r="C13" s="6">
        <v>700</v>
      </c>
      <c r="D13" s="7">
        <v>2</v>
      </c>
      <c r="E13" s="8" t="b">
        <v>1</v>
      </c>
    </row>
    <row r="14" spans="1:8" ht="22" customHeight="1">
      <c r="A14" s="4">
        <v>142</v>
      </c>
      <c r="B14" s="5" t="s">
        <v>23</v>
      </c>
      <c r="C14" s="6">
        <v>700</v>
      </c>
      <c r="D14" s="7">
        <v>2</v>
      </c>
      <c r="E14" s="8" t="b">
        <v>1</v>
      </c>
    </row>
    <row r="15" spans="1:8" ht="22" customHeight="1">
      <c r="A15" s="4" t="s">
        <v>24</v>
      </c>
      <c r="B15" s="5" t="s">
        <v>25</v>
      </c>
      <c r="C15" s="6">
        <v>700</v>
      </c>
      <c r="D15" s="7">
        <v>2</v>
      </c>
      <c r="E15" s="8" t="b">
        <v>1</v>
      </c>
    </row>
    <row r="16" spans="1:8" ht="22" customHeight="1">
      <c r="A16" s="4" t="s">
        <v>26</v>
      </c>
      <c r="B16" s="5" t="s">
        <v>27</v>
      </c>
      <c r="C16" s="6">
        <v>700</v>
      </c>
      <c r="D16" s="7">
        <v>2</v>
      </c>
      <c r="E16" s="8" t="b">
        <v>1</v>
      </c>
    </row>
    <row r="17" spans="1:5" ht="22" customHeight="1">
      <c r="A17" s="4"/>
      <c r="B17" s="5" t="s">
        <v>28</v>
      </c>
      <c r="C17" s="6">
        <v>1400</v>
      </c>
      <c r="D17" s="7">
        <v>4</v>
      </c>
      <c r="E17" s="8" t="b">
        <v>1</v>
      </c>
    </row>
    <row r="18" spans="1:5" ht="22" customHeight="1">
      <c r="A18" s="4" t="s">
        <v>29</v>
      </c>
      <c r="B18" s="5" t="s">
        <v>30</v>
      </c>
      <c r="C18" s="6">
        <v>350</v>
      </c>
      <c r="D18" s="7">
        <v>1</v>
      </c>
      <c r="E18" s="8" t="b">
        <v>1</v>
      </c>
    </row>
    <row r="19" spans="1:5" ht="22" customHeight="1">
      <c r="A19" s="4" t="s">
        <v>31</v>
      </c>
      <c r="B19" s="5" t="s">
        <v>32</v>
      </c>
      <c r="C19" s="6">
        <v>700</v>
      </c>
      <c r="D19" s="7">
        <v>2</v>
      </c>
      <c r="E19" s="8" t="b">
        <v>1</v>
      </c>
    </row>
    <row r="20" spans="1:5" ht="22" customHeight="1">
      <c r="A20" s="4" t="s">
        <v>33</v>
      </c>
      <c r="B20" s="5" t="s">
        <v>34</v>
      </c>
      <c r="C20" s="6">
        <v>700</v>
      </c>
      <c r="D20" s="7">
        <v>2</v>
      </c>
      <c r="E20" s="8" t="b">
        <v>1</v>
      </c>
    </row>
    <row r="21" spans="1:5" ht="22" customHeight="1">
      <c r="A21" s="4" t="s">
        <v>35</v>
      </c>
      <c r="B21" s="5" t="s">
        <v>36</v>
      </c>
      <c r="C21" s="6">
        <v>700</v>
      </c>
      <c r="D21" s="7">
        <v>2</v>
      </c>
      <c r="E21" s="8" t="b">
        <v>0</v>
      </c>
    </row>
    <row r="22" spans="1:5" ht="22" customHeight="1">
      <c r="A22" s="4" t="s">
        <v>158</v>
      </c>
      <c r="B22" s="5" t="s">
        <v>37</v>
      </c>
      <c r="C22" s="6">
        <v>350</v>
      </c>
      <c r="D22" s="7">
        <v>1</v>
      </c>
      <c r="E22" s="8" t="b">
        <v>0</v>
      </c>
    </row>
    <row r="23" spans="1:5" ht="22" customHeight="1">
      <c r="A23" s="4" t="s">
        <v>20</v>
      </c>
      <c r="B23" s="5" t="s">
        <v>38</v>
      </c>
      <c r="C23" s="6">
        <v>1400</v>
      </c>
      <c r="D23" s="7">
        <v>4</v>
      </c>
      <c r="E23" s="8" t="b">
        <v>0</v>
      </c>
    </row>
    <row r="24" spans="1:5" ht="22" customHeight="1">
      <c r="A24" s="4" t="s">
        <v>39</v>
      </c>
      <c r="B24" s="5" t="s">
        <v>40</v>
      </c>
      <c r="C24" s="6">
        <v>700</v>
      </c>
      <c r="D24" s="7">
        <v>2</v>
      </c>
      <c r="E24" s="8" t="b">
        <v>1</v>
      </c>
    </row>
    <row r="25" spans="1:5" ht="22" customHeight="1">
      <c r="A25" s="4" t="s">
        <v>159</v>
      </c>
      <c r="B25" s="5" t="s">
        <v>41</v>
      </c>
      <c r="C25" s="6">
        <v>350</v>
      </c>
      <c r="D25" s="7">
        <v>1</v>
      </c>
      <c r="E25" s="8" t="b">
        <v>0</v>
      </c>
    </row>
    <row r="26" spans="1:5" ht="22" customHeight="1">
      <c r="A26" s="4">
        <v>188</v>
      </c>
      <c r="B26" s="5" t="s">
        <v>42</v>
      </c>
      <c r="C26" s="6">
        <v>700</v>
      </c>
      <c r="D26" s="7">
        <v>2</v>
      </c>
      <c r="E26" s="8" t="b">
        <v>1</v>
      </c>
    </row>
    <row r="27" spans="1:5" ht="22" customHeight="1">
      <c r="A27" s="4" t="s">
        <v>43</v>
      </c>
      <c r="B27" s="5" t="s">
        <v>44</v>
      </c>
      <c r="C27" s="6">
        <v>1050</v>
      </c>
      <c r="D27" s="7">
        <v>3</v>
      </c>
      <c r="E27" s="8" t="b">
        <v>0</v>
      </c>
    </row>
    <row r="28" spans="1:5" ht="22" customHeight="1">
      <c r="A28" s="4" t="s">
        <v>45</v>
      </c>
      <c r="B28" s="5" t="s">
        <v>46</v>
      </c>
      <c r="C28" s="6">
        <v>350</v>
      </c>
      <c r="D28" s="7">
        <v>3</v>
      </c>
      <c r="E28" s="8" t="b">
        <v>1</v>
      </c>
    </row>
    <row r="29" spans="1:5" ht="22" customHeight="1">
      <c r="A29" s="4" t="s">
        <v>47</v>
      </c>
      <c r="B29" s="5" t="s">
        <v>48</v>
      </c>
      <c r="C29" s="6">
        <v>1050</v>
      </c>
      <c r="D29" s="7">
        <v>4</v>
      </c>
      <c r="E29" s="8" t="b">
        <v>1</v>
      </c>
    </row>
    <row r="30" spans="1:5" ht="22" customHeight="1">
      <c r="A30" s="4"/>
      <c r="B30" s="5" t="s">
        <v>49</v>
      </c>
      <c r="C30" s="6">
        <v>1400</v>
      </c>
      <c r="D30" s="7">
        <v>2</v>
      </c>
      <c r="E30" s="8" t="b">
        <v>1</v>
      </c>
    </row>
    <row r="31" spans="1:5" ht="22" customHeight="1">
      <c r="A31" s="4" t="s">
        <v>50</v>
      </c>
      <c r="B31" s="5" t="s">
        <v>51</v>
      </c>
      <c r="C31" s="6">
        <v>700</v>
      </c>
      <c r="D31" s="7">
        <v>2</v>
      </c>
      <c r="E31" s="8" t="b">
        <v>0</v>
      </c>
    </row>
    <row r="32" spans="1:5" ht="22" customHeight="1">
      <c r="A32" s="4" t="s">
        <v>160</v>
      </c>
      <c r="B32" s="5" t="s">
        <v>52</v>
      </c>
      <c r="C32" s="6">
        <v>700</v>
      </c>
      <c r="D32" s="7">
        <v>2</v>
      </c>
      <c r="E32" s="8" t="b">
        <v>0</v>
      </c>
    </row>
    <row r="33" spans="1:5" ht="22" customHeight="1">
      <c r="A33" s="4" t="s">
        <v>26</v>
      </c>
      <c r="B33" s="5" t="s">
        <v>53</v>
      </c>
      <c r="C33" s="6">
        <v>350</v>
      </c>
      <c r="D33" s="7">
        <v>1</v>
      </c>
      <c r="E33" s="8" t="b">
        <v>0</v>
      </c>
    </row>
    <row r="34" spans="1:5" ht="22" customHeight="1">
      <c r="A34" s="4" t="s">
        <v>54</v>
      </c>
      <c r="B34" s="5" t="s">
        <v>55</v>
      </c>
      <c r="C34" s="6">
        <v>700</v>
      </c>
      <c r="D34" s="7">
        <v>2</v>
      </c>
      <c r="E34" s="8" t="b">
        <v>1</v>
      </c>
    </row>
    <row r="35" spans="1:5" ht="22" customHeight="1">
      <c r="A35" s="4" t="s">
        <v>56</v>
      </c>
      <c r="B35" s="5" t="s">
        <v>57</v>
      </c>
      <c r="C35" s="6">
        <v>350</v>
      </c>
      <c r="D35" s="7">
        <v>1</v>
      </c>
      <c r="E35" s="8" t="b">
        <v>1</v>
      </c>
    </row>
    <row r="36" spans="1:5" ht="22" customHeight="1">
      <c r="A36" s="4" t="s">
        <v>58</v>
      </c>
      <c r="B36" s="5" t="s">
        <v>59</v>
      </c>
      <c r="C36" s="6">
        <v>700</v>
      </c>
      <c r="D36" s="7">
        <v>2</v>
      </c>
      <c r="E36" s="8" t="b">
        <v>1</v>
      </c>
    </row>
    <row r="37" spans="1:5" ht="22" customHeight="1">
      <c r="A37" s="4" t="s">
        <v>60</v>
      </c>
      <c r="B37" s="5" t="s">
        <v>61</v>
      </c>
      <c r="C37" s="6">
        <v>1050</v>
      </c>
      <c r="D37" s="7">
        <v>3</v>
      </c>
      <c r="E37" s="8" t="b">
        <v>0</v>
      </c>
    </row>
    <row r="38" spans="1:5" ht="22" customHeight="1">
      <c r="A38" s="4" t="s">
        <v>62</v>
      </c>
      <c r="B38" s="5" t="s">
        <v>63</v>
      </c>
      <c r="C38" s="6">
        <v>350</v>
      </c>
      <c r="D38" s="7">
        <v>1</v>
      </c>
      <c r="E38" s="8" t="b">
        <v>0</v>
      </c>
    </row>
    <row r="39" spans="1:5" ht="22" customHeight="1">
      <c r="A39" s="4" t="s">
        <v>64</v>
      </c>
      <c r="B39" s="5" t="s">
        <v>65</v>
      </c>
      <c r="C39" s="6">
        <v>700</v>
      </c>
      <c r="D39" s="7">
        <v>2</v>
      </c>
      <c r="E39" s="8" t="b">
        <v>1</v>
      </c>
    </row>
    <row r="40" spans="1:5" ht="22" customHeight="1">
      <c r="A40" s="4" t="s">
        <v>66</v>
      </c>
      <c r="B40" s="5" t="s">
        <v>67</v>
      </c>
      <c r="C40" s="6">
        <v>700</v>
      </c>
      <c r="D40" s="7">
        <v>2</v>
      </c>
      <c r="E40" s="8" t="b">
        <v>1</v>
      </c>
    </row>
    <row r="41" spans="1:5" ht="22" customHeight="1">
      <c r="A41" s="4" t="s">
        <v>68</v>
      </c>
      <c r="B41" s="5" t="s">
        <v>69</v>
      </c>
      <c r="C41" s="6">
        <v>700</v>
      </c>
      <c r="D41" s="7">
        <v>2</v>
      </c>
      <c r="E41" s="8" t="b">
        <v>0</v>
      </c>
    </row>
    <row r="42" spans="1:5" ht="22" customHeight="1">
      <c r="A42" s="4" t="s">
        <v>70</v>
      </c>
      <c r="B42" s="5" t="s">
        <v>71</v>
      </c>
      <c r="C42" s="6">
        <v>700</v>
      </c>
      <c r="D42" s="7">
        <v>2</v>
      </c>
      <c r="E42" s="8" t="b">
        <v>0</v>
      </c>
    </row>
    <row r="43" spans="1:5" ht="22" customHeight="1">
      <c r="A43" s="4" t="s">
        <v>72</v>
      </c>
      <c r="B43" s="5" t="s">
        <v>73</v>
      </c>
      <c r="C43" s="6">
        <v>1050</v>
      </c>
      <c r="D43" s="7">
        <v>3</v>
      </c>
      <c r="E43" s="8" t="b">
        <v>0</v>
      </c>
    </row>
    <row r="44" spans="1:5" ht="22" customHeight="1">
      <c r="A44" s="4" t="s">
        <v>74</v>
      </c>
      <c r="B44" s="5" t="s">
        <v>75</v>
      </c>
      <c r="C44" s="6">
        <v>350</v>
      </c>
      <c r="D44" s="7">
        <v>1</v>
      </c>
      <c r="E44" s="8" t="b">
        <v>1</v>
      </c>
    </row>
    <row r="45" spans="1:5" ht="22" customHeight="1">
      <c r="A45" s="4" t="s">
        <v>76</v>
      </c>
      <c r="B45" s="5" t="s">
        <v>77</v>
      </c>
      <c r="C45" s="6">
        <v>1400</v>
      </c>
      <c r="D45" s="7">
        <v>4</v>
      </c>
      <c r="E45" s="8" t="b">
        <v>1</v>
      </c>
    </row>
    <row r="46" spans="1:5" ht="22" customHeight="1">
      <c r="A46" s="4" t="s">
        <v>78</v>
      </c>
      <c r="B46" s="5" t="s">
        <v>79</v>
      </c>
      <c r="C46" s="6">
        <v>700</v>
      </c>
      <c r="D46" s="7">
        <v>2</v>
      </c>
      <c r="E46" s="8" t="b">
        <v>0</v>
      </c>
    </row>
    <row r="47" spans="1:5" ht="22" customHeight="1">
      <c r="A47" s="4" t="s">
        <v>80</v>
      </c>
      <c r="B47" s="5" t="s">
        <v>81</v>
      </c>
      <c r="C47" s="6">
        <v>350</v>
      </c>
      <c r="D47" s="7">
        <v>1</v>
      </c>
      <c r="E47" s="8" t="b">
        <v>1</v>
      </c>
    </row>
    <row r="48" spans="1:5" ht="22" customHeight="1">
      <c r="A48" s="4" t="s">
        <v>82</v>
      </c>
      <c r="B48" s="5" t="s">
        <v>83</v>
      </c>
      <c r="C48" s="6">
        <v>1050</v>
      </c>
      <c r="D48" s="7">
        <v>3</v>
      </c>
      <c r="E48" s="8" t="b">
        <v>0</v>
      </c>
    </row>
    <row r="49" spans="1:5" ht="22" customHeight="1">
      <c r="A49" s="4" t="s">
        <v>84</v>
      </c>
      <c r="B49" s="5" t="s">
        <v>75</v>
      </c>
      <c r="C49" s="6">
        <v>700</v>
      </c>
      <c r="D49" s="7">
        <v>2</v>
      </c>
      <c r="E49" s="8" t="b">
        <v>0</v>
      </c>
    </row>
    <row r="50" spans="1:5" ht="22" customHeight="1">
      <c r="A50" s="4" t="s">
        <v>85</v>
      </c>
      <c r="B50" s="5" t="s">
        <v>86</v>
      </c>
      <c r="C50" s="6">
        <v>700</v>
      </c>
      <c r="D50" s="7">
        <v>2</v>
      </c>
      <c r="E50" s="8" t="b">
        <v>0</v>
      </c>
    </row>
    <row r="51" spans="1:5" ht="22" customHeight="1">
      <c r="A51" s="4" t="s">
        <v>78</v>
      </c>
      <c r="B51" s="5" t="s">
        <v>87</v>
      </c>
      <c r="C51" s="6">
        <v>700</v>
      </c>
      <c r="D51" s="7">
        <v>2</v>
      </c>
      <c r="E51" s="8" t="b">
        <v>0</v>
      </c>
    </row>
    <row r="52" spans="1:5" ht="22" customHeight="1">
      <c r="A52" s="4" t="s">
        <v>88</v>
      </c>
      <c r="B52" s="5" t="s">
        <v>89</v>
      </c>
      <c r="C52" s="6">
        <v>350</v>
      </c>
      <c r="D52" s="7">
        <v>1</v>
      </c>
      <c r="E52" s="8" t="b">
        <v>0</v>
      </c>
    </row>
    <row r="53" spans="1:5" ht="22" customHeight="1">
      <c r="A53" s="4" t="s">
        <v>90</v>
      </c>
      <c r="B53" s="5" t="s">
        <v>91</v>
      </c>
      <c r="C53" s="6">
        <v>700</v>
      </c>
      <c r="D53" s="7">
        <v>2</v>
      </c>
      <c r="E53" s="8" t="b">
        <v>0</v>
      </c>
    </row>
    <row r="54" spans="1:5" ht="22" customHeight="1">
      <c r="A54" s="4"/>
      <c r="B54" s="5" t="s">
        <v>92</v>
      </c>
      <c r="C54" s="6">
        <v>700</v>
      </c>
      <c r="D54" s="7">
        <v>2</v>
      </c>
      <c r="E54" s="8" t="b">
        <v>0</v>
      </c>
    </row>
    <row r="55" spans="1:5" ht="22" customHeight="1">
      <c r="A55" s="4" t="s">
        <v>93</v>
      </c>
      <c r="B55" s="5" t="s">
        <v>94</v>
      </c>
      <c r="C55" s="6">
        <v>350</v>
      </c>
      <c r="D55" s="7">
        <v>1</v>
      </c>
      <c r="E55" s="8" t="b">
        <v>0</v>
      </c>
    </row>
    <row r="56" spans="1:5" ht="22" customHeight="1">
      <c r="A56" s="4" t="s">
        <v>95</v>
      </c>
      <c r="B56" s="5" t="s">
        <v>96</v>
      </c>
      <c r="C56" s="6">
        <v>700</v>
      </c>
      <c r="D56" s="7">
        <v>2</v>
      </c>
      <c r="E56" s="8" t="b">
        <v>0</v>
      </c>
    </row>
    <row r="57" spans="1:5" ht="22" customHeight="1">
      <c r="A57" s="4" t="s">
        <v>161</v>
      </c>
      <c r="B57" s="5" t="s">
        <v>97</v>
      </c>
      <c r="C57" s="6">
        <v>350</v>
      </c>
      <c r="D57" s="7">
        <v>1</v>
      </c>
      <c r="E57" s="8" t="b">
        <v>0</v>
      </c>
    </row>
    <row r="58" spans="1:5" ht="22" customHeight="1">
      <c r="A58" s="4" t="s">
        <v>74</v>
      </c>
      <c r="B58" s="5" t="s">
        <v>98</v>
      </c>
      <c r="C58" s="6">
        <v>700</v>
      </c>
      <c r="D58" s="7">
        <v>2</v>
      </c>
      <c r="E58" s="8" t="b">
        <v>0</v>
      </c>
    </row>
    <row r="59" spans="1:5" ht="22" customHeight="1">
      <c r="A59" s="4" t="s">
        <v>99</v>
      </c>
      <c r="B59" s="5" t="s">
        <v>100</v>
      </c>
      <c r="C59" s="6">
        <v>1050</v>
      </c>
      <c r="D59" s="7">
        <v>3</v>
      </c>
      <c r="E59" s="8" t="b">
        <v>0</v>
      </c>
    </row>
    <row r="60" spans="1:5" ht="22" customHeight="1">
      <c r="A60" s="4"/>
      <c r="B60" s="5" t="s">
        <v>101</v>
      </c>
      <c r="C60" s="6">
        <v>350</v>
      </c>
      <c r="D60" s="7">
        <v>1</v>
      </c>
      <c r="E60" s="8" t="b">
        <v>0</v>
      </c>
    </row>
    <row r="61" spans="1:5" ht="22" customHeight="1">
      <c r="A61" s="4"/>
      <c r="B61" s="5" t="s">
        <v>102</v>
      </c>
      <c r="C61" s="6">
        <v>1050</v>
      </c>
      <c r="D61" s="7">
        <v>3</v>
      </c>
      <c r="E61" s="8" t="b">
        <v>1</v>
      </c>
    </row>
    <row r="62" spans="1:5" ht="22" customHeight="1">
      <c r="A62" s="4" t="s">
        <v>33</v>
      </c>
      <c r="B62" s="5" t="s">
        <v>103</v>
      </c>
      <c r="C62" s="6">
        <v>350</v>
      </c>
      <c r="D62" s="7">
        <v>1</v>
      </c>
      <c r="E62" s="8" t="b">
        <v>0</v>
      </c>
    </row>
    <row r="63" spans="1:5" ht="22" customHeight="1">
      <c r="A63" s="4">
        <v>179</v>
      </c>
      <c r="B63" s="5" t="s">
        <v>104</v>
      </c>
      <c r="C63" s="6">
        <v>700</v>
      </c>
      <c r="D63" s="7">
        <v>2</v>
      </c>
      <c r="E63" s="8" t="b">
        <v>0</v>
      </c>
    </row>
    <row r="64" spans="1:5" ht="22" customHeight="1">
      <c r="A64" s="4"/>
      <c r="B64" s="5" t="s">
        <v>105</v>
      </c>
      <c r="C64" s="6">
        <v>1050</v>
      </c>
      <c r="D64" s="7">
        <v>3</v>
      </c>
      <c r="E64" s="8" t="b">
        <v>0</v>
      </c>
    </row>
    <row r="65" spans="1:5" ht="22" customHeight="1">
      <c r="A65" s="4" t="s">
        <v>106</v>
      </c>
      <c r="B65" s="5" t="s">
        <v>107</v>
      </c>
      <c r="C65" s="6">
        <v>350</v>
      </c>
      <c r="D65" s="7">
        <v>1</v>
      </c>
      <c r="E65" s="8" t="b">
        <v>1</v>
      </c>
    </row>
    <row r="66" spans="1:5" ht="22" customHeight="1">
      <c r="A66" s="4" t="s">
        <v>108</v>
      </c>
      <c r="B66" s="5" t="s">
        <v>109</v>
      </c>
      <c r="C66" s="6">
        <v>350</v>
      </c>
      <c r="D66" s="7">
        <v>1</v>
      </c>
      <c r="E66" s="8" t="b">
        <v>0</v>
      </c>
    </row>
    <row r="67" spans="1:5" ht="22" customHeight="1">
      <c r="A67" s="4" t="s">
        <v>110</v>
      </c>
      <c r="B67" s="5" t="s">
        <v>111</v>
      </c>
      <c r="C67" s="6">
        <v>700</v>
      </c>
      <c r="D67" s="7">
        <v>2</v>
      </c>
      <c r="E67" s="8" t="b">
        <v>0</v>
      </c>
    </row>
    <row r="68" spans="1:5" ht="22" customHeight="1">
      <c r="A68" s="4" t="s">
        <v>112</v>
      </c>
      <c r="B68" s="5" t="s">
        <v>113</v>
      </c>
      <c r="C68" s="6">
        <v>1050</v>
      </c>
      <c r="D68" s="7">
        <v>3</v>
      </c>
      <c r="E68" s="8" t="b">
        <v>1</v>
      </c>
    </row>
    <row r="69" spans="1:5" ht="22" customHeight="1">
      <c r="A69" s="4" t="s">
        <v>114</v>
      </c>
      <c r="B69" s="5" t="s">
        <v>115</v>
      </c>
      <c r="C69" s="6">
        <v>350</v>
      </c>
      <c r="D69" s="7">
        <v>1</v>
      </c>
      <c r="E69" s="8" t="b">
        <v>1</v>
      </c>
    </row>
    <row r="70" spans="1:5" ht="22" customHeight="1">
      <c r="A70" s="4" t="s">
        <v>116</v>
      </c>
      <c r="B70" s="5" t="s">
        <v>117</v>
      </c>
      <c r="C70" s="6">
        <v>350</v>
      </c>
      <c r="D70" s="7">
        <v>1</v>
      </c>
      <c r="E70" s="8" t="b">
        <v>1</v>
      </c>
    </row>
    <row r="71" spans="1:5" ht="22" customHeight="1">
      <c r="A71" s="4" t="s">
        <v>118</v>
      </c>
      <c r="B71" s="5" t="s">
        <v>119</v>
      </c>
      <c r="C71" s="6">
        <v>700</v>
      </c>
      <c r="D71" s="7">
        <v>2</v>
      </c>
      <c r="E71" s="8" t="b">
        <v>1</v>
      </c>
    </row>
    <row r="72" spans="1:5" ht="22" customHeight="1">
      <c r="A72" s="4" t="s">
        <v>120</v>
      </c>
      <c r="B72" s="5" t="s">
        <v>121</v>
      </c>
      <c r="C72" s="6">
        <v>350</v>
      </c>
      <c r="D72" s="7">
        <v>1</v>
      </c>
      <c r="E72" s="8" t="b">
        <v>0</v>
      </c>
    </row>
    <row r="73" spans="1:5" ht="22" customHeight="1">
      <c r="A73" s="4" t="s">
        <v>122</v>
      </c>
      <c r="B73" s="5" t="s">
        <v>123</v>
      </c>
      <c r="C73" s="6">
        <v>350</v>
      </c>
      <c r="D73" s="7">
        <v>1</v>
      </c>
      <c r="E73" s="8" t="b">
        <v>0</v>
      </c>
    </row>
    <row r="74" spans="1:5" ht="22" customHeight="1">
      <c r="A74" s="4" t="s">
        <v>124</v>
      </c>
      <c r="B74" s="5" t="s">
        <v>125</v>
      </c>
      <c r="C74" s="6">
        <v>350</v>
      </c>
      <c r="D74" s="7">
        <v>1</v>
      </c>
      <c r="E74" s="8" t="b">
        <v>0</v>
      </c>
    </row>
    <row r="75" spans="1:5" ht="22" customHeight="1">
      <c r="A75" s="4" t="s">
        <v>126</v>
      </c>
      <c r="B75" s="5" t="s">
        <v>127</v>
      </c>
      <c r="C75" s="6">
        <v>700</v>
      </c>
      <c r="D75" s="7">
        <v>2</v>
      </c>
      <c r="E75" s="8" t="b">
        <v>1</v>
      </c>
    </row>
    <row r="76" spans="1:5" ht="22" customHeight="1">
      <c r="A76" s="4" t="s">
        <v>128</v>
      </c>
      <c r="B76" s="5" t="s">
        <v>129</v>
      </c>
      <c r="C76" s="6">
        <v>700</v>
      </c>
      <c r="D76" s="7">
        <v>2</v>
      </c>
      <c r="E76" s="8" t="b">
        <v>0</v>
      </c>
    </row>
    <row r="77" spans="1:5" ht="22" customHeight="1">
      <c r="A77" s="4" t="s">
        <v>162</v>
      </c>
      <c r="B77" s="5" t="s">
        <v>130</v>
      </c>
      <c r="C77" s="6">
        <v>700</v>
      </c>
      <c r="D77" s="7">
        <v>2</v>
      </c>
      <c r="E77" s="8" t="b">
        <v>0</v>
      </c>
    </row>
    <row r="78" spans="1:5" ht="22" customHeight="1">
      <c r="A78" s="4"/>
      <c r="B78" s="5" t="s">
        <v>131</v>
      </c>
      <c r="C78" s="6">
        <v>700</v>
      </c>
      <c r="D78" s="7">
        <v>2</v>
      </c>
      <c r="E78" s="8" t="b">
        <v>1</v>
      </c>
    </row>
    <row r="79" spans="1:5" ht="22" customHeight="1">
      <c r="A79" s="4"/>
      <c r="B79" s="5" t="s">
        <v>132</v>
      </c>
      <c r="C79" s="6">
        <v>350</v>
      </c>
      <c r="D79" s="7">
        <v>1</v>
      </c>
      <c r="E79" s="8" t="b">
        <v>1</v>
      </c>
    </row>
    <row r="80" spans="1:5" ht="22" customHeight="1">
      <c r="A80" s="4" t="s">
        <v>133</v>
      </c>
      <c r="B80" s="5" t="s">
        <v>134</v>
      </c>
      <c r="C80" s="6">
        <v>700</v>
      </c>
      <c r="D80" s="7">
        <v>2</v>
      </c>
      <c r="E80" s="8" t="b">
        <v>1</v>
      </c>
    </row>
    <row r="81" spans="1:5" ht="22" customHeight="1">
      <c r="A81" s="4"/>
      <c r="B81" s="5" t="s">
        <v>135</v>
      </c>
      <c r="C81" s="6">
        <v>80</v>
      </c>
      <c r="D81" s="7">
        <v>1</v>
      </c>
      <c r="E81" s="8" t="b">
        <v>0</v>
      </c>
    </row>
    <row r="82" spans="1:5" ht="22" customHeight="1">
      <c r="A82" s="4">
        <v>189</v>
      </c>
      <c r="B82" s="5" t="s">
        <v>136</v>
      </c>
      <c r="C82" s="6">
        <v>1750</v>
      </c>
      <c r="D82" s="7">
        <v>5</v>
      </c>
      <c r="E82" s="8" t="b">
        <v>1</v>
      </c>
    </row>
    <row r="83" spans="1:5" ht="22" customHeight="1">
      <c r="A83" s="4"/>
      <c r="B83" s="5" t="s">
        <v>137</v>
      </c>
      <c r="C83" s="6">
        <v>500</v>
      </c>
      <c r="D83" s="7">
        <v>0</v>
      </c>
      <c r="E83" s="8" t="b">
        <v>0</v>
      </c>
    </row>
    <row r="84" spans="1:5" ht="22" customHeight="1">
      <c r="A84" s="4"/>
      <c r="B84" s="5" t="s">
        <v>138</v>
      </c>
      <c r="C84" s="6">
        <v>700</v>
      </c>
      <c r="D84" s="7">
        <v>2</v>
      </c>
      <c r="E84" s="8" t="b">
        <v>0</v>
      </c>
    </row>
    <row r="85" spans="1:5" ht="22" customHeight="1">
      <c r="A85" s="4"/>
      <c r="B85" s="5" t="s">
        <v>139</v>
      </c>
      <c r="C85" s="6">
        <v>350</v>
      </c>
      <c r="D85" s="7">
        <v>1</v>
      </c>
      <c r="E85" s="8" t="b">
        <v>0</v>
      </c>
    </row>
    <row r="86" spans="1:5" ht="22" customHeight="1">
      <c r="A86" s="4"/>
      <c r="B86" s="5" t="s">
        <v>140</v>
      </c>
      <c r="C86" s="6">
        <v>350</v>
      </c>
      <c r="D86" s="7">
        <v>1</v>
      </c>
      <c r="E86" s="8" t="b">
        <v>0</v>
      </c>
    </row>
    <row r="87" spans="1:5" ht="22" customHeight="1">
      <c r="A87" s="4"/>
      <c r="B87" s="5" t="s">
        <v>141</v>
      </c>
      <c r="C87" s="6">
        <v>700</v>
      </c>
      <c r="D87" s="7">
        <v>2</v>
      </c>
      <c r="E87" s="8" t="b">
        <v>0</v>
      </c>
    </row>
    <row r="88" spans="1:5" ht="22" customHeight="1">
      <c r="A88" s="4"/>
      <c r="B88" s="5" t="s">
        <v>142</v>
      </c>
      <c r="C88" s="6">
        <v>700</v>
      </c>
      <c r="D88" s="7">
        <v>2</v>
      </c>
      <c r="E88" s="8" t="b">
        <v>0</v>
      </c>
    </row>
    <row r="89" spans="1:5" ht="22" customHeight="1">
      <c r="A89" s="4" t="s">
        <v>99</v>
      </c>
      <c r="B89" s="5" t="s">
        <v>143</v>
      </c>
      <c r="C89" s="6">
        <v>350</v>
      </c>
      <c r="D89" s="7">
        <v>1</v>
      </c>
      <c r="E89" s="8" t="b">
        <v>1</v>
      </c>
    </row>
    <row r="90" spans="1:5" s="1" customFormat="1" ht="22" customHeight="1">
      <c r="A90" s="4">
        <v>128</v>
      </c>
      <c r="B90" s="5" t="s">
        <v>144</v>
      </c>
      <c r="C90" s="6">
        <v>350</v>
      </c>
      <c r="D90" s="7">
        <v>1</v>
      </c>
      <c r="E90" s="8" t="b">
        <v>1</v>
      </c>
    </row>
    <row r="91" spans="1:5" ht="22" customHeight="1">
      <c r="A91" s="4">
        <v>108</v>
      </c>
      <c r="B91" s="5" t="s">
        <v>145</v>
      </c>
      <c r="C91" s="6">
        <v>350</v>
      </c>
      <c r="D91" s="7">
        <v>1</v>
      </c>
      <c r="E91" s="8" t="b">
        <v>1</v>
      </c>
    </row>
    <row r="92" spans="1:5" ht="22" customHeight="1">
      <c r="A92" s="4">
        <v>166</v>
      </c>
      <c r="B92" s="5"/>
      <c r="C92" s="6">
        <v>350</v>
      </c>
      <c r="D92" s="7">
        <v>1</v>
      </c>
      <c r="E92" s="8" t="b">
        <v>1</v>
      </c>
    </row>
    <row r="93" spans="1:5" ht="22" customHeight="1">
      <c r="A93" s="4">
        <v>128</v>
      </c>
      <c r="B93" s="5"/>
      <c r="C93" s="6">
        <v>350</v>
      </c>
      <c r="D93" s="7">
        <v>1</v>
      </c>
      <c r="E93" s="8" t="b">
        <v>1</v>
      </c>
    </row>
    <row r="94" spans="1:5" ht="22" customHeight="1">
      <c r="A94" s="4">
        <v>159</v>
      </c>
      <c r="B94" s="5" t="s">
        <v>146</v>
      </c>
      <c r="C94" s="6">
        <v>350</v>
      </c>
      <c r="D94" s="7">
        <v>1</v>
      </c>
      <c r="E94" s="8" t="b">
        <v>1</v>
      </c>
    </row>
    <row r="95" spans="1:5" ht="22" customHeight="1">
      <c r="A95" s="4">
        <v>24</v>
      </c>
      <c r="B95" s="5"/>
      <c r="C95" s="6">
        <v>700</v>
      </c>
      <c r="D95" s="11">
        <v>2</v>
      </c>
      <c r="E95" s="8" t="b">
        <v>1</v>
      </c>
    </row>
    <row r="96" spans="1:5" ht="22" customHeight="1">
      <c r="A96" s="4">
        <v>96</v>
      </c>
      <c r="B96" s="5" t="s">
        <v>117</v>
      </c>
      <c r="C96" s="6">
        <v>350</v>
      </c>
      <c r="D96" s="7">
        <v>1</v>
      </c>
      <c r="E96" s="8" t="b">
        <v>1</v>
      </c>
    </row>
    <row r="97" spans="1:5" ht="22" customHeight="1">
      <c r="A97" s="4">
        <v>192</v>
      </c>
      <c r="B97" s="5" t="s">
        <v>147</v>
      </c>
      <c r="C97" s="6">
        <v>350</v>
      </c>
      <c r="D97" s="7">
        <v>1</v>
      </c>
      <c r="E97" s="8" t="b">
        <v>1</v>
      </c>
    </row>
    <row r="98" spans="1:5" ht="22" customHeight="1">
      <c r="A98" s="4">
        <v>29</v>
      </c>
      <c r="B98" s="5"/>
      <c r="C98" s="6">
        <v>350</v>
      </c>
      <c r="D98" s="7">
        <v>1</v>
      </c>
      <c r="E98" s="8" t="b">
        <v>1</v>
      </c>
    </row>
    <row r="99" spans="1:5" s="2" customFormat="1" ht="22" customHeight="1">
      <c r="A99" s="4">
        <v>7</v>
      </c>
      <c r="B99" s="5" t="s">
        <v>148</v>
      </c>
      <c r="C99" s="6">
        <v>350</v>
      </c>
      <c r="D99" s="7">
        <v>1</v>
      </c>
      <c r="E99" s="8" t="b">
        <v>1</v>
      </c>
    </row>
    <row r="100" spans="1:5" ht="22" customHeight="1">
      <c r="A100" s="4">
        <v>176</v>
      </c>
      <c r="B100" s="5" t="s">
        <v>149</v>
      </c>
      <c r="C100" s="6">
        <v>700</v>
      </c>
      <c r="D100" s="11">
        <v>2</v>
      </c>
      <c r="E100" s="8" t="b">
        <v>1</v>
      </c>
    </row>
  </sheetData>
  <mergeCells count="3">
    <mergeCell ref="A1:E1"/>
    <mergeCell ref="A2:E2"/>
    <mergeCell ref="G11:H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Видача пультів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Connor</cp:lastModifiedBy>
  <dcterms:modified xsi:type="dcterms:W3CDTF">2026-10-02T22:09:17Z</dcterms:modified>
</cp:coreProperties>
</file>